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poulin/Downloads/"/>
    </mc:Choice>
  </mc:AlternateContent>
  <xr:revisionPtr revIDLastSave="0" documentId="13_ncr:1_{88733F2E-9B85-BA48-82B0-7D1FA426CCFC}" xr6:coauthVersionLast="47" xr6:coauthVersionMax="47" xr10:uidLastSave="{00000000-0000-0000-0000-000000000000}"/>
  <bookViews>
    <workbookView xWindow="0" yWindow="500" windowWidth="33600" windowHeight="20500" activeTab="2" xr2:uid="{C4F8B437-CA74-8D43-8194-19F0E733BD44}"/>
  </bookViews>
  <sheets>
    <sheet name="Sheet1" sheetId="1" r:id="rId1"/>
    <sheet name="Scores (Buffalo)" sheetId="3" r:id="rId2"/>
    <sheet name="Population Quotien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" l="1"/>
  <c r="B53" i="3"/>
  <c r="E15" i="3"/>
  <c r="L12" i="2"/>
  <c r="L13" i="2"/>
  <c r="K2" i="2"/>
  <c r="L2" i="2" s="1"/>
  <c r="K3" i="2"/>
  <c r="L3" i="2" s="1"/>
  <c r="K4" i="2"/>
  <c r="L4" i="2" s="1"/>
  <c r="K5" i="2"/>
  <c r="L5" i="2" s="1"/>
  <c r="K6" i="2"/>
  <c r="L6" i="2" s="1"/>
  <c r="K7" i="2"/>
  <c r="L7" i="2" s="1"/>
  <c r="K8" i="2"/>
  <c r="L8" i="2" s="1"/>
  <c r="K9" i="2"/>
  <c r="L9" i="2" s="1"/>
  <c r="K10" i="2"/>
  <c r="L10" i="2" s="1"/>
  <c r="K11" i="2"/>
  <c r="L11" i="2" s="1"/>
  <c r="K12" i="2"/>
  <c r="K13" i="2"/>
  <c r="K1" i="2"/>
  <c r="L1" i="2" s="1"/>
  <c r="P66" i="1"/>
  <c r="P65" i="1"/>
  <c r="P64" i="1"/>
  <c r="O66" i="1"/>
  <c r="F65" i="1" s="1"/>
  <c r="G65" i="1" s="1"/>
  <c r="H65" i="1" s="1"/>
  <c r="O65" i="1"/>
  <c r="O64" i="1"/>
  <c r="D58" i="1"/>
  <c r="D65" i="1"/>
  <c r="D60" i="1"/>
  <c r="E3" i="2"/>
  <c r="E26" i="2"/>
  <c r="D2" i="2"/>
  <c r="E2" i="2" s="1"/>
  <c r="D3" i="2"/>
  <c r="D4" i="2"/>
  <c r="E4" i="2" s="1"/>
  <c r="D5" i="2"/>
  <c r="E5" i="2" s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D27" i="2"/>
  <c r="E27" i="2" s="1"/>
  <c r="D28" i="2"/>
  <c r="E28" i="2" s="1"/>
  <c r="D29" i="2"/>
  <c r="E29" i="2" s="1"/>
  <c r="D30" i="2"/>
  <c r="E30" i="2" s="1"/>
  <c r="D31" i="2"/>
  <c r="E31" i="2" s="1"/>
  <c r="D32" i="2"/>
  <c r="E32" i="2" s="1"/>
  <c r="D33" i="2"/>
  <c r="E33" i="2" s="1"/>
  <c r="D34" i="2"/>
  <c r="E34" i="2" s="1"/>
  <c r="D35" i="2"/>
  <c r="E35" i="2" s="1"/>
  <c r="D36" i="2"/>
  <c r="E36" i="2" s="1"/>
  <c r="D37" i="2"/>
  <c r="E37" i="2" s="1"/>
  <c r="D38" i="2"/>
  <c r="E38" i="2" s="1"/>
  <c r="D39" i="2"/>
  <c r="E39" i="2" s="1"/>
  <c r="D40" i="2"/>
  <c r="E40" i="2" s="1"/>
  <c r="D41" i="2"/>
  <c r="E41" i="2" s="1"/>
  <c r="D42" i="2"/>
  <c r="E42" i="2" s="1"/>
  <c r="D43" i="2"/>
  <c r="E43" i="2" s="1"/>
  <c r="D44" i="2"/>
  <c r="E44" i="2" s="1"/>
  <c r="D45" i="2"/>
  <c r="E45" i="2" s="1"/>
  <c r="D46" i="2"/>
  <c r="E46" i="2" s="1"/>
  <c r="D47" i="2"/>
  <c r="E47" i="2" s="1"/>
  <c r="D48" i="2"/>
  <c r="E48" i="2" s="1"/>
  <c r="D49" i="2"/>
  <c r="E49" i="2" s="1"/>
  <c r="D50" i="2"/>
  <c r="E50" i="2" s="1"/>
  <c r="D51" i="2"/>
  <c r="E51" i="2" s="1"/>
  <c r="D1" i="2"/>
  <c r="E1" i="2" s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1048576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P2" i="1"/>
  <c r="O63" i="1"/>
  <c r="O62" i="1"/>
  <c r="O61" i="1"/>
  <c r="O60" i="1"/>
  <c r="O59" i="1"/>
  <c r="F58" i="1" s="1"/>
  <c r="G58" i="1" s="1"/>
  <c r="H58" i="1" s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7" i="1"/>
  <c r="O15" i="1"/>
  <c r="O13" i="1"/>
  <c r="O18" i="1"/>
  <c r="F18" i="1" s="1"/>
  <c r="G18" i="1" s="1"/>
  <c r="O16" i="1"/>
  <c r="O14" i="1"/>
  <c r="O12" i="1"/>
  <c r="O11" i="1"/>
  <c r="O10" i="1"/>
  <c r="O9" i="1"/>
  <c r="O8" i="1"/>
  <c r="O7" i="1"/>
  <c r="O6" i="1"/>
  <c r="O5" i="1"/>
  <c r="O4" i="1"/>
  <c r="O3" i="1"/>
  <c r="O2" i="1"/>
  <c r="D2" i="1"/>
  <c r="D5" i="1"/>
  <c r="D4" i="1"/>
  <c r="D6" i="1"/>
  <c r="D7" i="1"/>
  <c r="D8" i="1"/>
  <c r="D10" i="1"/>
  <c r="D9" i="1"/>
  <c r="D11" i="1"/>
  <c r="D12" i="1"/>
  <c r="D13" i="1"/>
  <c r="D17" i="1"/>
  <c r="D14" i="1"/>
  <c r="D15" i="1"/>
  <c r="D16" i="1"/>
  <c r="D18" i="1"/>
  <c r="D19" i="1"/>
  <c r="D20" i="1"/>
  <c r="D23" i="1"/>
  <c r="D22" i="1"/>
  <c r="D21" i="1"/>
  <c r="D24" i="1"/>
  <c r="D25" i="1"/>
  <c r="D27" i="1"/>
  <c r="D26" i="1"/>
  <c r="D28" i="1"/>
  <c r="D35" i="1"/>
  <c r="D36" i="1"/>
  <c r="D29" i="1"/>
  <c r="D31" i="1"/>
  <c r="D32" i="1"/>
  <c r="D33" i="1"/>
  <c r="D30" i="1"/>
  <c r="D34" i="1"/>
  <c r="D37" i="1"/>
  <c r="D38" i="1"/>
  <c r="D39" i="1"/>
  <c r="D40" i="1"/>
  <c r="D41" i="1"/>
  <c r="D42" i="1"/>
  <c r="D43" i="1"/>
  <c r="D44" i="1"/>
  <c r="D45" i="1"/>
  <c r="D46" i="1"/>
  <c r="D48" i="1"/>
  <c r="D47" i="1"/>
  <c r="D49" i="1"/>
  <c r="D51" i="1"/>
  <c r="D50" i="1"/>
  <c r="D52" i="1"/>
  <c r="D64" i="1"/>
  <c r="D62" i="1"/>
  <c r="D61" i="1"/>
  <c r="D59" i="1"/>
  <c r="D53" i="1"/>
  <c r="D54" i="1"/>
  <c r="D55" i="1"/>
  <c r="D57" i="1"/>
  <c r="D56" i="1"/>
  <c r="D63" i="1"/>
  <c r="D174" i="1"/>
  <c r="D3" i="1"/>
  <c r="F64" i="1" l="1"/>
  <c r="G64" i="1" s="1"/>
  <c r="H64" i="1" s="1"/>
  <c r="F59" i="1"/>
  <c r="G59" i="1" s="1"/>
  <c r="H59" i="1" s="1"/>
  <c r="F61" i="1"/>
  <c r="G61" i="1" s="1"/>
  <c r="H61" i="1" s="1"/>
  <c r="F62" i="1"/>
  <c r="G62" i="1" s="1"/>
  <c r="H62" i="1" s="1"/>
  <c r="F13" i="1"/>
  <c r="G13" i="1" s="1"/>
  <c r="F60" i="1"/>
  <c r="G60" i="1" s="1"/>
  <c r="H60" i="1" s="1"/>
  <c r="F63" i="1"/>
  <c r="G63" i="1" s="1"/>
  <c r="H63" i="1" s="1"/>
  <c r="F3" i="1"/>
  <c r="H18" i="1"/>
  <c r="F32" i="1"/>
  <c r="F2" i="1"/>
  <c r="F15" i="1"/>
  <c r="F51" i="1"/>
  <c r="F54" i="1"/>
  <c r="G54" i="1" s="1"/>
  <c r="H54" i="1" s="1"/>
  <c r="F4" i="1"/>
  <c r="F45" i="1"/>
  <c r="F21" i="1"/>
  <c r="F46" i="1"/>
  <c r="F16" i="1"/>
  <c r="F38" i="1"/>
  <c r="F7" i="1"/>
  <c r="F22" i="1"/>
  <c r="F34" i="1"/>
  <c r="H13" i="1"/>
  <c r="F36" i="1"/>
  <c r="F6" i="1"/>
  <c r="F25" i="1"/>
  <c r="F9" i="1"/>
  <c r="F27" i="1"/>
  <c r="F33" i="1"/>
  <c r="F31" i="1"/>
  <c r="F48" i="1"/>
  <c r="F42" i="1"/>
  <c r="F43" i="1"/>
  <c r="F50" i="1"/>
  <c r="F55" i="1"/>
  <c r="G55" i="1" s="1"/>
  <c r="H55" i="1" s="1"/>
  <c r="F56" i="1"/>
  <c r="G56" i="1" s="1"/>
  <c r="H56" i="1" s="1"/>
  <c r="F8" i="1"/>
  <c r="F24" i="1"/>
  <c r="F39" i="1"/>
  <c r="F53" i="1"/>
  <c r="G53" i="1" s="1"/>
  <c r="H53" i="1" s="1"/>
  <c r="F11" i="1"/>
  <c r="F19" i="1"/>
  <c r="F26" i="1"/>
  <c r="F30" i="1"/>
  <c r="F29" i="1"/>
  <c r="F10" i="1"/>
  <c r="F41" i="1"/>
  <c r="F12" i="1"/>
  <c r="F40" i="1"/>
  <c r="F47" i="1"/>
  <c r="F49" i="1"/>
  <c r="F5" i="1"/>
  <c r="F20" i="1"/>
  <c r="F28" i="1"/>
  <c r="F17" i="1"/>
  <c r="F23" i="1"/>
  <c r="F35" i="1"/>
  <c r="F37" i="1"/>
  <c r="F44" i="1"/>
  <c r="F52" i="1"/>
  <c r="F57" i="1"/>
  <c r="G57" i="1" s="1"/>
  <c r="H57" i="1" s="1"/>
  <c r="F14" i="1"/>
  <c r="G24" i="1" l="1"/>
  <c r="H24" i="1" s="1"/>
  <c r="G4" i="1"/>
  <c r="H4" i="1" s="1"/>
  <c r="G14" i="1"/>
  <c r="H14" i="1" s="1"/>
  <c r="G31" i="1"/>
  <c r="H31" i="1" s="1"/>
  <c r="G51" i="1"/>
  <c r="H51" i="1" s="1"/>
  <c r="G20" i="1"/>
  <c r="H20" i="1" s="1"/>
  <c r="G44" i="1"/>
  <c r="H44" i="1" s="1"/>
  <c r="G7" i="1"/>
  <c r="H7" i="1" s="1"/>
  <c r="G29" i="1"/>
  <c r="H29" i="1" s="1"/>
  <c r="G22" i="1"/>
  <c r="H22" i="1" s="1"/>
  <c r="G15" i="1"/>
  <c r="H15" i="1" s="1"/>
  <c r="G19" i="1"/>
  <c r="H19" i="1" s="1"/>
  <c r="G2" i="1"/>
  <c r="H2" i="1" s="1"/>
  <c r="G11" i="1"/>
  <c r="H11" i="1" s="1"/>
  <c r="G32" i="1"/>
  <c r="H32" i="1" s="1"/>
  <c r="G10" i="1"/>
  <c r="H10" i="1" s="1"/>
  <c r="G33" i="1"/>
  <c r="H33" i="1" s="1"/>
  <c r="G5" i="1"/>
  <c r="H5" i="1" s="1"/>
  <c r="G27" i="1"/>
  <c r="H27" i="1" s="1"/>
  <c r="G49" i="1"/>
  <c r="H49" i="1" s="1"/>
  <c r="G9" i="1"/>
  <c r="H9" i="1" s="1"/>
  <c r="G37" i="1"/>
  <c r="H37" i="1" s="1"/>
  <c r="G50" i="1"/>
  <c r="H50" i="1" s="1"/>
  <c r="G16" i="1"/>
  <c r="H16" i="1" s="1"/>
  <c r="G40" i="1"/>
  <c r="H40" i="1" s="1"/>
  <c r="G6" i="1"/>
  <c r="H6" i="1" s="1"/>
  <c r="G23" i="1"/>
  <c r="H23" i="1" s="1"/>
  <c r="G12" i="1"/>
  <c r="H12" i="1" s="1"/>
  <c r="G42" i="1"/>
  <c r="H42" i="1" s="1"/>
  <c r="G36" i="1"/>
  <c r="H36" i="1" s="1"/>
  <c r="G21" i="1"/>
  <c r="H21" i="1" s="1"/>
  <c r="G28" i="1"/>
  <c r="H28" i="1" s="1"/>
  <c r="G8" i="1"/>
  <c r="H8" i="1" s="1"/>
  <c r="G52" i="1"/>
  <c r="H52" i="1" s="1"/>
  <c r="G30" i="1"/>
  <c r="H30" i="1" s="1"/>
  <c r="G26" i="1"/>
  <c r="H26" i="1" s="1"/>
  <c r="G38" i="1"/>
  <c r="H38" i="1" s="1"/>
  <c r="G47" i="1"/>
  <c r="H47" i="1" s="1"/>
  <c r="G25" i="1"/>
  <c r="H25" i="1" s="1"/>
  <c r="G35" i="1"/>
  <c r="H35" i="1" s="1"/>
  <c r="G43" i="1"/>
  <c r="H43" i="1" s="1"/>
  <c r="G46" i="1"/>
  <c r="H46" i="1" s="1"/>
  <c r="G17" i="1"/>
  <c r="H17" i="1" s="1"/>
  <c r="G41" i="1"/>
  <c r="H41" i="1" s="1"/>
  <c r="G39" i="1"/>
  <c r="H39" i="1" s="1"/>
  <c r="G48" i="1"/>
  <c r="H48" i="1" s="1"/>
  <c r="G45" i="1"/>
  <c r="H45" i="1" s="1"/>
  <c r="G3" i="1"/>
  <c r="H3" i="1" s="1"/>
  <c r="G34" i="1"/>
  <c r="H34" i="1" s="1"/>
</calcChain>
</file>

<file path=xl/sharedStrings.xml><?xml version="1.0" encoding="utf-8"?>
<sst xmlns="http://schemas.openxmlformats.org/spreadsheetml/2006/main" count="211" uniqueCount="81">
  <si>
    <t>State Name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</si>
  <si>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</si>
  <si>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</si>
  <si>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</si>
  <si>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</si>
  <si>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</si>
  <si>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</si>
  <si>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</si>
  <si>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</si>
  <si>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</si>
  <si>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</si>
  <si>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</si>
  <si>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</si>
  <si>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</si>
  <si>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</si>
  <si>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</si>
  <si>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</si>
  <si>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</si>
  <si>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</si>
  <si>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</si>
  <si>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</si>
  <si>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</si>
  <si>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</si>
  <si>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</si>
  <si>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</si>
  <si>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</si>
  <si>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</si>
  <si>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</si>
  <si>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</si>
  <si>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</si>
  <si>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</si>
  <si>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</si>
  <si>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</si>
  <si>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</si>
  <si>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</si>
  <si>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</si>
  <si>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</si>
  <si>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</si>
  <si>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</si>
  <si>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</si>
  <si>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</si>
  <si>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</si>
  <si>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</si>
  <si>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</si>
  <si>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</si>
  <si>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</si>
  <si>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</si>
  <si>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</si>
  <si>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</si>
  <si>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</si>
  <si>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</si>
  <si>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District of Columbia</t>
  </si>
  <si>
    <t>Saskatchewan</t>
  </si>
  <si>
    <t>Ontario</t>
  </si>
  <si>
    <t>Nova Scotia</t>
  </si>
  <si>
    <t>Alberta</t>
  </si>
  <si>
    <t>British Columbia</t>
  </si>
  <si>
    <t>Manitoba</t>
  </si>
  <si>
    <t>Newfoundland and Labrador</t>
  </si>
  <si>
    <t>New Brunswich</t>
  </si>
  <si>
    <t>Quebec</t>
  </si>
  <si>
    <t>Prince Edward Island</t>
  </si>
  <si>
    <t>Lat</t>
  </si>
  <si>
    <t>Long</t>
  </si>
  <si>
    <t>Lat Long</t>
  </si>
  <si>
    <t>YOUR LOCATION</t>
  </si>
  <si>
    <t>Home</t>
  </si>
  <si>
    <t>Dist</t>
  </si>
  <si>
    <t>Your location but worse</t>
  </si>
  <si>
    <t>Pop</t>
  </si>
  <si>
    <t>State</t>
  </si>
  <si>
    <t>Score (Home)</t>
  </si>
  <si>
    <t>CANADA</t>
  </si>
  <si>
    <t>New Brunswick</t>
  </si>
  <si>
    <t>Northwest Territories</t>
  </si>
  <si>
    <t>Yukon</t>
  </si>
  <si>
    <t>Nunavut</t>
  </si>
  <si>
    <t>Province</t>
  </si>
  <si>
    <t>*Ocean bonus (+2000 Mi)</t>
  </si>
  <si>
    <t>Kinnelon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</si>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</sst>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rgb="FF00050B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3" fontId="1" fillId="0" borderId="0" xfId="0" applyNumberFormat="1" applyFont="1"/>
    <xf numFmtId="3" fontId="0" fillId="0" borderId="0" xfId="0" applyNumberFormat="1"/>
    <xf numFmtId="0" fontId="2" fillId="0" borderId="0" xfId="0" applyFont="1"/>
    <xf numFmtId="0" fontId="2" fillId="2" borderId="0" xfId="0" applyFont="1" applyFill="1"/>
    <xf numFmtId="0" fontId="3" fillId="3" borderId="0" xfId="0" applyFont="1" applyFill="1"/>
    <xf numFmtId="0" fontId="4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18BD-6639-A54C-969B-2C46BB14D727}">
  <dimension ref="A1:Q1048576"/>
  <sheetViews>
    <sheetView workbookViewId="0">
      <selection activeCell="L17" sqref="L17"/>
    </sheetView>
  </sheetViews>
  <sheetFormatPr baseColWidth="10" defaultRowHeight="16" x14ac:dyDescent="0.2"/>
  <cols>
    <col min="1" max="1" width="24.6640625" style="4" customWidth="1"/>
    <col min="3" max="3" width="14.33203125" customWidth="1"/>
    <col min="4" max="4" width="4.83203125" customWidth="1"/>
    <col min="5" max="5" width="8.83203125" customWidth="1"/>
    <col min="8" max="8" width="6.1640625" style="4" customWidth="1"/>
    <col min="11" max="11" width="14.5" customWidth="1"/>
    <col min="17" max="17" width="23" customWidth="1"/>
    <col min="24" max="24" width="35.33203125" customWidth="1"/>
  </cols>
  <sheetData>
    <row r="1" spans="1:17" x14ac:dyDescent="0.2">
      <c r="A1" s="4" t="s">
        <v>0</v>
      </c>
      <c r="B1" t="s">
        <v>62</v>
      </c>
      <c r="C1" t="s">
        <v>63</v>
      </c>
      <c r="D1" t="s">
        <v>64</v>
      </c>
      <c r="E1" t="s">
        <v>69</v>
      </c>
      <c r="F1" t="s">
        <v>67</v>
      </c>
      <c r="H1" s="5" t="s">
        <v>80</v>
      </c>
      <c r="K1" s="6" t="s">
        <v>65</v>
      </c>
      <c r="M1" t="s">
        <v>68</v>
      </c>
      <c r="Q1" s="7" t="s">
        <v>78</v>
      </c>
    </row>
    <row r="2" spans="1:17" x14ac:dyDescent="0.2">
      <c r="A2" s="4" t="s">
        <v>1</v>
      </c>
      <c r="B2">
        <v>32.318230999999997</v>
      </c>
      <c r="C2">
        <v>-86.902298000000002</v>
      </c>
      <c r="D2" t="str">
        <f t="shared" ref="D2:D33" si="0">B2&amp;", "&amp;C2</f>
        <v>32.318231, -86.902298</v>
      </c>
      <c r="E2">
        <v>15.04</v>
      </c>
      <c r="F2">
        <f t="shared" ref="F2:F12" si="1">ACOS(COS(RADIANS(90-O2)) * COS(RADIANS(90-B2)) + SIN(RADIANS(90-O2)) * SIN(RADIANS(90-B2)) * COS(RADIANS(P2-C2))) * 3959</f>
        <v>859.72085108660667</v>
      </c>
      <c r="G2">
        <f>F2/E2/4</f>
        <v>14.290572657689607</v>
      </c>
      <c r="H2" s="4">
        <f>ROUND(G2,0)</f>
        <v>14</v>
      </c>
      <c r="J2" t="s">
        <v>62</v>
      </c>
      <c r="K2" s="4">
        <v>42.963830101270503</v>
      </c>
      <c r="O2">
        <f>K2</f>
        <v>42.963830101270503</v>
      </c>
      <c r="P2">
        <f>K3</f>
        <v>-78.733618411975101</v>
      </c>
    </row>
    <row r="3" spans="1:17" x14ac:dyDescent="0.2">
      <c r="A3" s="4" t="s">
        <v>2</v>
      </c>
      <c r="B3">
        <v>63.588752999999997</v>
      </c>
      <c r="C3">
        <v>-154.49306200000001</v>
      </c>
      <c r="D3" t="str">
        <f t="shared" si="0"/>
        <v>63.588753, -154.493062</v>
      </c>
      <c r="E3">
        <v>2.16</v>
      </c>
      <c r="F3">
        <f t="shared" si="1"/>
        <v>3201.4591663816973</v>
      </c>
      <c r="G3">
        <f t="shared" ref="G3:G65" si="2">F3/E3/4</f>
        <v>370.53925536825199</v>
      </c>
      <c r="H3" s="4">
        <f t="shared" ref="H3:H65" si="3">ROUND(G3,0)</f>
        <v>371</v>
      </c>
      <c r="J3" t="s">
        <v>63</v>
      </c>
      <c r="K3" s="4">
        <v>-78.733618411975101</v>
      </c>
      <c r="O3">
        <f>K2</f>
        <v>42.963830101270503</v>
      </c>
      <c r="P3">
        <f>K3</f>
        <v>-78.733618411975101</v>
      </c>
    </row>
    <row r="4" spans="1:17" x14ac:dyDescent="0.2">
      <c r="A4" s="4" t="s">
        <v>3</v>
      </c>
      <c r="B4">
        <v>34.048927999999997</v>
      </c>
      <c r="C4">
        <v>-111.09373100000001</v>
      </c>
      <c r="D4" t="str">
        <f t="shared" si="0"/>
        <v>34.048928, -111.093731</v>
      </c>
      <c r="E4">
        <v>22.11</v>
      </c>
      <c r="F4">
        <f t="shared" si="1"/>
        <v>1841.5006465993629</v>
      </c>
      <c r="G4">
        <f t="shared" si="2"/>
        <v>20.822033543638206</v>
      </c>
      <c r="H4" s="4">
        <f t="shared" si="3"/>
        <v>21</v>
      </c>
      <c r="K4" t="s">
        <v>66</v>
      </c>
      <c r="L4">
        <v>42.963830101270503</v>
      </c>
      <c r="O4">
        <f>K2</f>
        <v>42.963830101270503</v>
      </c>
      <c r="P4">
        <f>K3</f>
        <v>-78.733618411975101</v>
      </c>
    </row>
    <row r="5" spans="1:17" x14ac:dyDescent="0.2">
      <c r="A5" s="4" t="s">
        <v>4</v>
      </c>
      <c r="B5">
        <v>35.201050000000002</v>
      </c>
      <c r="C5">
        <v>-91.831833000000003</v>
      </c>
      <c r="D5" t="str">
        <f t="shared" si="0"/>
        <v>35.20105, -91.831833</v>
      </c>
      <c r="E5">
        <v>9</v>
      </c>
      <c r="F5">
        <f t="shared" si="1"/>
        <v>882.13775045048715</v>
      </c>
      <c r="G5">
        <f t="shared" si="2"/>
        <v>24.503826401402421</v>
      </c>
      <c r="H5" s="4">
        <f t="shared" si="3"/>
        <v>25</v>
      </c>
      <c r="L5">
        <v>-78.733618411975101</v>
      </c>
      <c r="O5">
        <f>K2</f>
        <v>42.963830101270503</v>
      </c>
      <c r="P5">
        <f>K3</f>
        <v>-78.733618411975101</v>
      </c>
    </row>
    <row r="6" spans="1:17" x14ac:dyDescent="0.2">
      <c r="A6" s="4" t="s">
        <v>5</v>
      </c>
      <c r="B6">
        <v>36.778261000000001</v>
      </c>
      <c r="C6">
        <v>-119.41793199999999</v>
      </c>
      <c r="D6" t="str">
        <f t="shared" si="0"/>
        <v>36.778261, -119.417932</v>
      </c>
      <c r="E6">
        <v>114.96</v>
      </c>
      <c r="F6">
        <f t="shared" si="1"/>
        <v>2177.4968322447899</v>
      </c>
      <c r="G6">
        <f t="shared" si="2"/>
        <v>4.7353358390848772</v>
      </c>
      <c r="H6" s="4">
        <f t="shared" si="3"/>
        <v>5</v>
      </c>
      <c r="K6" t="s">
        <v>79</v>
      </c>
      <c r="L6">
        <v>41.001199999999997</v>
      </c>
      <c r="O6">
        <f>K2</f>
        <v>42.963830101270503</v>
      </c>
      <c r="P6">
        <f>K3</f>
        <v>-78.733618411975101</v>
      </c>
    </row>
    <row r="7" spans="1:17" x14ac:dyDescent="0.2">
      <c r="A7" s="4" t="s">
        <v>6</v>
      </c>
      <c r="B7">
        <v>39.550051000000003</v>
      </c>
      <c r="C7">
        <v>-105.782067</v>
      </c>
      <c r="D7" t="str">
        <f t="shared" si="0"/>
        <v>39.550051, -105.782067</v>
      </c>
      <c r="E7">
        <v>17.37</v>
      </c>
      <c r="F7">
        <f t="shared" si="1"/>
        <v>1418.3492548920065</v>
      </c>
      <c r="G7">
        <f t="shared" si="2"/>
        <v>20.41377741640769</v>
      </c>
      <c r="H7" s="4">
        <f t="shared" si="3"/>
        <v>20</v>
      </c>
      <c r="L7">
        <v>-74.373199999999997</v>
      </c>
      <c r="O7">
        <f>K2</f>
        <v>42.963830101270503</v>
      </c>
      <c r="P7">
        <f>K3</f>
        <v>-78.733618411975101</v>
      </c>
    </row>
    <row r="8" spans="1:17" x14ac:dyDescent="0.2">
      <c r="A8" s="4" t="s">
        <v>7</v>
      </c>
      <c r="B8">
        <v>41.603220999999998</v>
      </c>
      <c r="C8">
        <v>-73.087749000000002</v>
      </c>
      <c r="D8" t="str">
        <f t="shared" si="0"/>
        <v>41.603221, -73.087749</v>
      </c>
      <c r="E8">
        <v>10.71</v>
      </c>
      <c r="F8">
        <f t="shared" si="1"/>
        <v>303.47094682292067</v>
      </c>
      <c r="G8">
        <f t="shared" si="2"/>
        <v>7.0838222881167283</v>
      </c>
      <c r="H8" s="4">
        <f t="shared" si="3"/>
        <v>7</v>
      </c>
      <c r="O8">
        <f>K2</f>
        <v>42.963830101270503</v>
      </c>
      <c r="P8">
        <f>K3</f>
        <v>-78.733618411975101</v>
      </c>
    </row>
    <row r="9" spans="1:17" x14ac:dyDescent="0.2">
      <c r="A9" s="4" t="s">
        <v>8</v>
      </c>
      <c r="B9">
        <v>38.910831999999999</v>
      </c>
      <c r="C9">
        <v>-75.527670000000001</v>
      </c>
      <c r="D9" t="str">
        <f t="shared" si="0"/>
        <v>38.910832, -75.52767</v>
      </c>
      <c r="E9">
        <v>3.07</v>
      </c>
      <c r="F9">
        <f t="shared" si="1"/>
        <v>326.17843739014597</v>
      </c>
      <c r="G9">
        <f t="shared" si="2"/>
        <v>26.561762002454884</v>
      </c>
      <c r="H9" s="4">
        <f t="shared" si="3"/>
        <v>27</v>
      </c>
      <c r="O9">
        <f>K2</f>
        <v>42.963830101270503</v>
      </c>
      <c r="P9">
        <f>K3</f>
        <v>-78.733618411975101</v>
      </c>
    </row>
    <row r="10" spans="1:17" x14ac:dyDescent="0.2">
      <c r="A10" s="4" t="s">
        <v>51</v>
      </c>
      <c r="B10">
        <v>38.905985000000001</v>
      </c>
      <c r="C10">
        <v>-77.033417999999998</v>
      </c>
      <c r="D10" t="str">
        <f t="shared" si="0"/>
        <v>38.905985, -77.033418</v>
      </c>
      <c r="E10">
        <v>2.0499999999999998</v>
      </c>
      <c r="F10">
        <f t="shared" si="1"/>
        <v>294.07946294612304</v>
      </c>
      <c r="G10">
        <f t="shared" si="2"/>
        <v>35.863349139771103</v>
      </c>
      <c r="H10" s="4">
        <f t="shared" si="3"/>
        <v>36</v>
      </c>
      <c r="O10">
        <f>K2</f>
        <v>42.963830101270503</v>
      </c>
      <c r="P10">
        <f>K3</f>
        <v>-78.733618411975101</v>
      </c>
    </row>
    <row r="11" spans="1:17" x14ac:dyDescent="0.2">
      <c r="A11" s="4" t="s">
        <v>9</v>
      </c>
      <c r="B11">
        <v>27.664826999999999</v>
      </c>
      <c r="C11">
        <v>-81.515754000000001</v>
      </c>
      <c r="D11" t="str">
        <f t="shared" si="0"/>
        <v>27.664827, -81.515754</v>
      </c>
      <c r="E11">
        <v>68.14</v>
      </c>
      <c r="F11">
        <f t="shared" si="1"/>
        <v>1068.5264992982427</v>
      </c>
      <c r="G11">
        <f t="shared" si="2"/>
        <v>3.9203349695415421</v>
      </c>
      <c r="H11" s="4">
        <f t="shared" si="3"/>
        <v>4</v>
      </c>
      <c r="O11">
        <f>K2</f>
        <v>42.963830101270503</v>
      </c>
      <c r="P11">
        <f>K3</f>
        <v>-78.733618411975101</v>
      </c>
    </row>
    <row r="12" spans="1:17" x14ac:dyDescent="0.2">
      <c r="A12" s="4" t="s">
        <v>10</v>
      </c>
      <c r="B12">
        <v>32.157435</v>
      </c>
      <c r="C12">
        <v>-82.907122999999999</v>
      </c>
      <c r="D12" t="str">
        <f t="shared" si="0"/>
        <v>32.157435, -82.907123</v>
      </c>
      <c r="E12">
        <v>32.6</v>
      </c>
      <c r="F12">
        <f t="shared" si="1"/>
        <v>780.62385301614961</v>
      </c>
      <c r="G12">
        <f t="shared" si="2"/>
        <v>5.9863792409213925</v>
      </c>
      <c r="H12" s="4">
        <f t="shared" si="3"/>
        <v>6</v>
      </c>
      <c r="O12">
        <f>K2</f>
        <v>42.963830101270503</v>
      </c>
      <c r="P12">
        <f>K3</f>
        <v>-78.733618411975101</v>
      </c>
    </row>
    <row r="13" spans="1:17" x14ac:dyDescent="0.2">
      <c r="A13" s="4" t="s">
        <v>11</v>
      </c>
      <c r="B13">
        <v>19.898682000000001</v>
      </c>
      <c r="C13">
        <v>-155.66585699999999</v>
      </c>
      <c r="D13" t="str">
        <f t="shared" si="0"/>
        <v>19.898682, -155.665857</v>
      </c>
      <c r="E13">
        <v>4.22</v>
      </c>
      <c r="F13" s="7">
        <f>ACOS(COS(RADIANS(90-O13)) * COS(RADIANS(90-B13)) + SIN(RADIANS(90-O13)) * SIN(RADIANS(90-B13)) * COS(RADIANS(P13-C13))) * 3959+2000</f>
        <v>6643.224710077453</v>
      </c>
      <c r="G13">
        <f t="shared" si="2"/>
        <v>393.55596623681595</v>
      </c>
      <c r="H13" s="4">
        <f t="shared" si="3"/>
        <v>394</v>
      </c>
      <c r="O13">
        <f>K2</f>
        <v>42.963830101270503</v>
      </c>
      <c r="P13">
        <f>K3</f>
        <v>-78.733618411975101</v>
      </c>
    </row>
    <row r="14" spans="1:17" x14ac:dyDescent="0.2">
      <c r="A14" s="4" t="s">
        <v>12</v>
      </c>
      <c r="B14">
        <v>44.068201999999999</v>
      </c>
      <c r="C14">
        <v>-114.742041</v>
      </c>
      <c r="D14" t="str">
        <f t="shared" si="0"/>
        <v>44.068202, -114.742041</v>
      </c>
      <c r="E14">
        <v>5.84</v>
      </c>
      <c r="F14">
        <f t="shared" ref="F14:F40" si="4">ACOS(COS(RADIANS(90-O14)) * COS(RADIANS(90-B14)) + SIN(RADIANS(90-O14)) * SIN(RADIANS(90-B14)) * COS(RADIANS(P14-C14))) * 3959</f>
        <v>1791.5032589729519</v>
      </c>
      <c r="G14">
        <f t="shared" si="2"/>
        <v>76.691064168362672</v>
      </c>
      <c r="H14" s="4">
        <f t="shared" si="3"/>
        <v>77</v>
      </c>
      <c r="O14">
        <f>K2</f>
        <v>42.963830101270503</v>
      </c>
      <c r="P14">
        <f>K3</f>
        <v>-78.733618411975101</v>
      </c>
    </row>
    <row r="15" spans="1:17" x14ac:dyDescent="0.2">
      <c r="A15" s="4" t="s">
        <v>13</v>
      </c>
      <c r="B15">
        <v>40.633125</v>
      </c>
      <c r="C15">
        <v>-89.398527999999999</v>
      </c>
      <c r="D15" t="str">
        <f t="shared" si="0"/>
        <v>40.633125, -89.398528</v>
      </c>
      <c r="E15">
        <v>37.06</v>
      </c>
      <c r="F15">
        <f t="shared" si="4"/>
        <v>572.02526140982025</v>
      </c>
      <c r="G15">
        <f t="shared" si="2"/>
        <v>3.8587780721115772</v>
      </c>
      <c r="H15" s="4">
        <f t="shared" si="3"/>
        <v>4</v>
      </c>
      <c r="O15">
        <f>K2</f>
        <v>42.963830101270503</v>
      </c>
      <c r="P15">
        <f>K3</f>
        <v>-78.733618411975101</v>
      </c>
    </row>
    <row r="16" spans="1:17" x14ac:dyDescent="0.2">
      <c r="A16" s="4" t="s">
        <v>14</v>
      </c>
      <c r="B16">
        <v>40.551217000000001</v>
      </c>
      <c r="C16">
        <v>-85.602363999999994</v>
      </c>
      <c r="D16" t="str">
        <f t="shared" si="0"/>
        <v>40.551217, -85.602364</v>
      </c>
      <c r="E16">
        <v>20.190000000000001</v>
      </c>
      <c r="F16">
        <f t="shared" si="4"/>
        <v>391.16626960304166</v>
      </c>
      <c r="G16">
        <f t="shared" si="2"/>
        <v>4.843564507219436</v>
      </c>
      <c r="H16" s="4">
        <f t="shared" si="3"/>
        <v>5</v>
      </c>
      <c r="O16">
        <f>K2</f>
        <v>42.963830101270503</v>
      </c>
      <c r="P16">
        <f>K3</f>
        <v>-78.733618411975101</v>
      </c>
    </row>
    <row r="17" spans="1:16" x14ac:dyDescent="0.2">
      <c r="A17" s="4" t="s">
        <v>15</v>
      </c>
      <c r="B17">
        <v>41.878003</v>
      </c>
      <c r="C17">
        <v>-93.097701999999998</v>
      </c>
      <c r="D17" t="str">
        <f t="shared" si="0"/>
        <v>41.878003, -93.097702</v>
      </c>
      <c r="E17">
        <v>9.4499999999999993</v>
      </c>
      <c r="F17">
        <f t="shared" si="4"/>
        <v>735.6118296043453</v>
      </c>
      <c r="G17">
        <f t="shared" si="2"/>
        <v>19.460630412813369</v>
      </c>
      <c r="H17" s="4">
        <f t="shared" si="3"/>
        <v>19</v>
      </c>
      <c r="O17">
        <f>K2</f>
        <v>42.963830101270503</v>
      </c>
      <c r="P17">
        <f>K3</f>
        <v>-78.733618411975101</v>
      </c>
    </row>
    <row r="18" spans="1:16" x14ac:dyDescent="0.2">
      <c r="A18" s="4" t="s">
        <v>16</v>
      </c>
      <c r="B18">
        <v>39.011901999999999</v>
      </c>
      <c r="C18">
        <v>-98.484245999999999</v>
      </c>
      <c r="D18" t="str">
        <f t="shared" si="0"/>
        <v>39.011902, -98.484246</v>
      </c>
      <c r="E18">
        <v>8.66</v>
      </c>
      <c r="F18">
        <f t="shared" si="4"/>
        <v>1062.9547803487355</v>
      </c>
      <c r="G18">
        <f t="shared" si="2"/>
        <v>30.685761557411535</v>
      </c>
      <c r="H18" s="4">
        <f t="shared" si="3"/>
        <v>31</v>
      </c>
      <c r="O18">
        <f>K2</f>
        <v>42.963830101270503</v>
      </c>
      <c r="P18">
        <f>K3</f>
        <v>-78.733618411975101</v>
      </c>
    </row>
    <row r="19" spans="1:16" x14ac:dyDescent="0.2">
      <c r="A19" s="4" t="s">
        <v>17</v>
      </c>
      <c r="B19">
        <v>37.839333000000003</v>
      </c>
      <c r="C19">
        <v>-84.270017999999993</v>
      </c>
      <c r="D19" t="str">
        <f t="shared" si="0"/>
        <v>37.839333, -84.270018</v>
      </c>
      <c r="E19">
        <v>13.38</v>
      </c>
      <c r="F19">
        <f t="shared" si="4"/>
        <v>458.30183983999893</v>
      </c>
      <c r="G19">
        <f t="shared" si="2"/>
        <v>8.5631883378176177</v>
      </c>
      <c r="H19" s="4">
        <f t="shared" si="3"/>
        <v>9</v>
      </c>
      <c r="O19">
        <f>K2</f>
        <v>42.963830101270503</v>
      </c>
      <c r="P19">
        <f>K3</f>
        <v>-78.733618411975101</v>
      </c>
    </row>
    <row r="20" spans="1:16" x14ac:dyDescent="0.2">
      <c r="A20" s="4" t="s">
        <v>18</v>
      </c>
      <c r="B20">
        <v>31.244823</v>
      </c>
      <c r="C20">
        <v>-92.145024000000006</v>
      </c>
      <c r="D20" t="str">
        <f t="shared" si="0"/>
        <v>31.244823, -92.145024</v>
      </c>
      <c r="E20">
        <v>13.4</v>
      </c>
      <c r="F20">
        <f t="shared" si="4"/>
        <v>1093.5437377000878</v>
      </c>
      <c r="G20">
        <f t="shared" si="2"/>
        <v>20.401935404852384</v>
      </c>
      <c r="H20" s="4">
        <f t="shared" si="3"/>
        <v>20</v>
      </c>
      <c r="O20">
        <f>K2</f>
        <v>42.963830101270503</v>
      </c>
      <c r="P20">
        <f>K3</f>
        <v>-78.733618411975101</v>
      </c>
    </row>
    <row r="21" spans="1:16" x14ac:dyDescent="0.2">
      <c r="A21" s="4" t="s">
        <v>19</v>
      </c>
      <c r="B21">
        <v>45.253782999999999</v>
      </c>
      <c r="C21">
        <v>-69.445469000000003</v>
      </c>
      <c r="D21" t="str">
        <f t="shared" si="0"/>
        <v>45.253783, -69.445469</v>
      </c>
      <c r="E21">
        <v>4.0999999999999996</v>
      </c>
      <c r="F21">
        <f t="shared" si="4"/>
        <v>486.88332923740865</v>
      </c>
      <c r="G21">
        <f t="shared" si="2"/>
        <v>29.688007880329799</v>
      </c>
      <c r="H21" s="4">
        <f t="shared" si="3"/>
        <v>30</v>
      </c>
      <c r="O21">
        <f>K2</f>
        <v>42.963830101270503</v>
      </c>
      <c r="P21">
        <f>K3</f>
        <v>-78.733618411975101</v>
      </c>
    </row>
    <row r="22" spans="1:16" x14ac:dyDescent="0.2">
      <c r="A22" s="4" t="s">
        <v>20</v>
      </c>
      <c r="B22">
        <v>39.045755</v>
      </c>
      <c r="C22">
        <v>-76.641271000000003</v>
      </c>
      <c r="D22" t="str">
        <f t="shared" si="0"/>
        <v>39.045755, -76.641271</v>
      </c>
      <c r="E22">
        <v>18.260000000000002</v>
      </c>
      <c r="F22">
        <f t="shared" si="4"/>
        <v>291.86068894785899</v>
      </c>
      <c r="G22">
        <f t="shared" si="2"/>
        <v>3.9959020940287373</v>
      </c>
      <c r="H22" s="4">
        <f t="shared" si="3"/>
        <v>4</v>
      </c>
      <c r="O22">
        <f>K2</f>
        <v>42.963830101270503</v>
      </c>
      <c r="P22">
        <f>K3</f>
        <v>-78.733618411975101</v>
      </c>
    </row>
    <row r="23" spans="1:16" x14ac:dyDescent="0.2">
      <c r="A23" s="4" t="s">
        <v>21</v>
      </c>
      <c r="B23">
        <v>42.407210999999997</v>
      </c>
      <c r="C23">
        <v>-71.382436999999996</v>
      </c>
      <c r="D23" t="str">
        <f t="shared" si="0"/>
        <v>42.407211, -71.382437</v>
      </c>
      <c r="E23">
        <v>20.81</v>
      </c>
      <c r="F23">
        <f t="shared" si="4"/>
        <v>375.23934152006314</v>
      </c>
      <c r="G23">
        <f t="shared" si="2"/>
        <v>4.5079209697268521</v>
      </c>
      <c r="H23" s="4">
        <f t="shared" si="3"/>
        <v>5</v>
      </c>
      <c r="O23">
        <f>K2</f>
        <v>42.963830101270503</v>
      </c>
      <c r="P23">
        <f>K3</f>
        <v>-78.733618411975101</v>
      </c>
    </row>
    <row r="24" spans="1:16" x14ac:dyDescent="0.2">
      <c r="A24" s="4" t="s">
        <v>22</v>
      </c>
      <c r="B24">
        <v>44.314844000000001</v>
      </c>
      <c r="C24">
        <v>-85.602363999999994</v>
      </c>
      <c r="D24" t="str">
        <f t="shared" si="0"/>
        <v>44.314844, -85.602364</v>
      </c>
      <c r="E24">
        <v>29.56</v>
      </c>
      <c r="F24">
        <f t="shared" si="4"/>
        <v>355.81368946443183</v>
      </c>
      <c r="G24">
        <f t="shared" si="2"/>
        <v>3.0092497417492545</v>
      </c>
      <c r="H24" s="4">
        <f t="shared" si="3"/>
        <v>3</v>
      </c>
      <c r="O24">
        <f>K2</f>
        <v>42.963830101270503</v>
      </c>
      <c r="P24">
        <f>K3</f>
        <v>-78.733618411975101</v>
      </c>
    </row>
    <row r="25" spans="1:16" x14ac:dyDescent="0.2">
      <c r="A25" s="4" t="s">
        <v>23</v>
      </c>
      <c r="B25">
        <v>46.729553000000003</v>
      </c>
      <c r="C25">
        <v>-94.685900000000004</v>
      </c>
      <c r="D25" t="str">
        <f t="shared" si="0"/>
        <v>46.729553, -94.6859</v>
      </c>
      <c r="E25">
        <v>16.89</v>
      </c>
      <c r="F25">
        <f t="shared" si="4"/>
        <v>821.95502193436016</v>
      </c>
      <c r="G25">
        <f t="shared" si="2"/>
        <v>12.166296949886917</v>
      </c>
      <c r="H25" s="4">
        <f t="shared" si="3"/>
        <v>12</v>
      </c>
      <c r="O25">
        <f>K2</f>
        <v>42.963830101270503</v>
      </c>
      <c r="P25">
        <f>K3</f>
        <v>-78.733618411975101</v>
      </c>
    </row>
    <row r="26" spans="1:16" x14ac:dyDescent="0.2">
      <c r="A26" s="4" t="s">
        <v>24</v>
      </c>
      <c r="B26">
        <v>32.354667999999997</v>
      </c>
      <c r="C26">
        <v>-89.398527999999999</v>
      </c>
      <c r="D26" t="str">
        <f t="shared" si="0"/>
        <v>32.354668, -89.398528</v>
      </c>
      <c r="E26">
        <v>8.58</v>
      </c>
      <c r="F26">
        <f t="shared" si="4"/>
        <v>935.22538212112772</v>
      </c>
      <c r="G26">
        <f t="shared" si="2"/>
        <v>27.25015682171118</v>
      </c>
      <c r="H26" s="4">
        <f t="shared" si="3"/>
        <v>27</v>
      </c>
      <c r="O26">
        <f>K2</f>
        <v>42.963830101270503</v>
      </c>
      <c r="P26">
        <f>K3</f>
        <v>-78.733618411975101</v>
      </c>
    </row>
    <row r="27" spans="1:16" x14ac:dyDescent="0.2">
      <c r="A27" s="4" t="s">
        <v>25</v>
      </c>
      <c r="B27">
        <v>37.964252999999999</v>
      </c>
      <c r="C27">
        <v>-91.831833000000003</v>
      </c>
      <c r="D27" t="str">
        <f t="shared" si="0"/>
        <v>37.964253, -91.831833</v>
      </c>
      <c r="E27">
        <v>18.21</v>
      </c>
      <c r="F27">
        <f t="shared" si="4"/>
        <v>769.18895060898205</v>
      </c>
      <c r="G27">
        <f t="shared" si="2"/>
        <v>10.559980101715842</v>
      </c>
      <c r="H27" s="4">
        <f t="shared" si="3"/>
        <v>11</v>
      </c>
      <c r="O27">
        <f>K2</f>
        <v>42.963830101270503</v>
      </c>
      <c r="P27">
        <f>K3</f>
        <v>-78.733618411975101</v>
      </c>
    </row>
    <row r="28" spans="1:16" x14ac:dyDescent="0.2">
      <c r="A28" s="4" t="s">
        <v>26</v>
      </c>
      <c r="B28">
        <v>46.879682000000003</v>
      </c>
      <c r="C28">
        <v>-110.362566</v>
      </c>
      <c r="D28" t="str">
        <f t="shared" si="0"/>
        <v>46.879682, -110.362566</v>
      </c>
      <c r="E28">
        <v>3.32</v>
      </c>
      <c r="F28">
        <f t="shared" si="4"/>
        <v>1559.9893527721595</v>
      </c>
      <c r="G28">
        <f t="shared" si="2"/>
        <v>117.46907776898792</v>
      </c>
      <c r="H28" s="4">
        <f t="shared" si="3"/>
        <v>117</v>
      </c>
      <c r="O28">
        <f>K2</f>
        <v>42.963830101270503</v>
      </c>
      <c r="P28">
        <f>K3</f>
        <v>-78.733618411975101</v>
      </c>
    </row>
    <row r="29" spans="1:16" x14ac:dyDescent="0.2">
      <c r="A29" s="4" t="s">
        <v>27</v>
      </c>
      <c r="B29">
        <v>41.492536999999999</v>
      </c>
      <c r="C29">
        <v>-99.901813000000004</v>
      </c>
      <c r="D29" t="str">
        <f t="shared" si="0"/>
        <v>41.492537, -99.901813</v>
      </c>
      <c r="E29">
        <v>5.85</v>
      </c>
      <c r="F29">
        <f t="shared" si="4"/>
        <v>1084.9389937950293</v>
      </c>
      <c r="G29">
        <f t="shared" si="2"/>
        <v>46.364914264744847</v>
      </c>
      <c r="H29" s="4">
        <f t="shared" si="3"/>
        <v>46</v>
      </c>
      <c r="O29">
        <f>K2</f>
        <v>42.963830101270503</v>
      </c>
      <c r="P29">
        <f>K3</f>
        <v>-78.733618411975101</v>
      </c>
    </row>
    <row r="30" spans="1:16" x14ac:dyDescent="0.2">
      <c r="A30" s="4" t="s">
        <v>28</v>
      </c>
      <c r="B30">
        <v>38.802610000000001</v>
      </c>
      <c r="C30">
        <v>-116.419389</v>
      </c>
      <c r="D30" t="str">
        <f t="shared" si="0"/>
        <v>38.80261, -116.419389</v>
      </c>
      <c r="E30">
        <v>9.5299999999999994</v>
      </c>
      <c r="F30">
        <f t="shared" si="4"/>
        <v>1972.8380059715146</v>
      </c>
      <c r="G30">
        <f t="shared" si="2"/>
        <v>51.753357974069118</v>
      </c>
      <c r="H30" s="4">
        <f t="shared" si="3"/>
        <v>52</v>
      </c>
      <c r="O30">
        <f>K2</f>
        <v>42.963830101270503</v>
      </c>
      <c r="P30">
        <f>K3</f>
        <v>-78.733618411975101</v>
      </c>
    </row>
    <row r="31" spans="1:16" x14ac:dyDescent="0.2">
      <c r="A31" s="4" t="s">
        <v>29</v>
      </c>
      <c r="B31">
        <v>43.193852</v>
      </c>
      <c r="C31">
        <v>-71.572395</v>
      </c>
      <c r="D31" t="str">
        <f t="shared" si="0"/>
        <v>43.193852, -71.572395</v>
      </c>
      <c r="E31">
        <v>4.1100000000000003</v>
      </c>
      <c r="F31">
        <f t="shared" si="4"/>
        <v>361.66480569093648</v>
      </c>
      <c r="G31">
        <f t="shared" si="2"/>
        <v>21.999075771954772</v>
      </c>
      <c r="H31" s="4">
        <f t="shared" si="3"/>
        <v>22</v>
      </c>
      <c r="O31">
        <f>K2</f>
        <v>42.963830101270503</v>
      </c>
      <c r="P31">
        <f>K3</f>
        <v>-78.733618411975101</v>
      </c>
    </row>
    <row r="32" spans="1:16" x14ac:dyDescent="0.2">
      <c r="A32" s="4" t="s">
        <v>30</v>
      </c>
      <c r="B32">
        <v>40.058323999999999</v>
      </c>
      <c r="C32">
        <v>-74.405660999999995</v>
      </c>
      <c r="D32" t="str">
        <f t="shared" si="0"/>
        <v>40.058324, -74.405661</v>
      </c>
      <c r="E32">
        <v>27.7</v>
      </c>
      <c r="F32">
        <f t="shared" si="4"/>
        <v>300.67870729760233</v>
      </c>
      <c r="G32">
        <f t="shared" si="2"/>
        <v>2.7137067445631979</v>
      </c>
      <c r="H32" s="4">
        <f t="shared" si="3"/>
        <v>3</v>
      </c>
      <c r="O32">
        <f>K2</f>
        <v>42.963830101270503</v>
      </c>
      <c r="P32">
        <f>K3</f>
        <v>-78.733618411975101</v>
      </c>
    </row>
    <row r="33" spans="1:16" x14ac:dyDescent="0.2">
      <c r="A33" s="4" t="s">
        <v>31</v>
      </c>
      <c r="B33">
        <v>34.972729999999999</v>
      </c>
      <c r="C33">
        <v>-105.032363</v>
      </c>
      <c r="D33" t="str">
        <f t="shared" si="0"/>
        <v>34.97273, -105.032363</v>
      </c>
      <c r="E33">
        <v>6.21</v>
      </c>
      <c r="F33">
        <f t="shared" si="4"/>
        <v>1509.1118935159748</v>
      </c>
      <c r="G33">
        <f t="shared" si="2"/>
        <v>60.753296840417661</v>
      </c>
      <c r="H33" s="4">
        <f t="shared" si="3"/>
        <v>61</v>
      </c>
      <c r="O33">
        <f>K2</f>
        <v>42.963830101270503</v>
      </c>
      <c r="P33">
        <f>K3</f>
        <v>-78.733618411975101</v>
      </c>
    </row>
    <row r="34" spans="1:16" x14ac:dyDescent="0.2">
      <c r="A34" s="4" t="s">
        <v>32</v>
      </c>
      <c r="B34">
        <v>43.299427999999999</v>
      </c>
      <c r="C34">
        <v>-74.217933000000002</v>
      </c>
      <c r="D34" t="str">
        <f t="shared" ref="D34:D65" si="5">B34&amp;", "&amp;C34</f>
        <v>43.299428, -74.217933</v>
      </c>
      <c r="E34">
        <v>57.92</v>
      </c>
      <c r="F34">
        <f t="shared" si="4"/>
        <v>228.8587670089004</v>
      </c>
      <c r="G34">
        <f t="shared" si="2"/>
        <v>0.9878227167165935</v>
      </c>
      <c r="H34" s="4">
        <f t="shared" si="3"/>
        <v>1</v>
      </c>
      <c r="O34">
        <f>K2</f>
        <v>42.963830101270503</v>
      </c>
      <c r="P34">
        <f>K3</f>
        <v>-78.733618411975101</v>
      </c>
    </row>
    <row r="35" spans="1:16" x14ac:dyDescent="0.2">
      <c r="A35" s="4" t="s">
        <v>33</v>
      </c>
      <c r="B35">
        <v>35.759573000000003</v>
      </c>
      <c r="C35">
        <v>-79.019300000000001</v>
      </c>
      <c r="D35" t="str">
        <f t="shared" si="5"/>
        <v>35.759573, -79.0193</v>
      </c>
      <c r="E35">
        <v>32.200000000000003</v>
      </c>
      <c r="F35">
        <f t="shared" si="4"/>
        <v>498.02974340390688</v>
      </c>
      <c r="G35">
        <f t="shared" si="2"/>
        <v>3.8666905543781587</v>
      </c>
      <c r="H35" s="4">
        <f t="shared" si="3"/>
        <v>4</v>
      </c>
      <c r="O35">
        <f>K2</f>
        <v>42.963830101270503</v>
      </c>
      <c r="P35">
        <f>K3</f>
        <v>-78.733618411975101</v>
      </c>
    </row>
    <row r="36" spans="1:16" x14ac:dyDescent="0.2">
      <c r="A36" s="4" t="s">
        <v>34</v>
      </c>
      <c r="B36">
        <v>47.551493000000001</v>
      </c>
      <c r="C36">
        <v>-101.00201199999999</v>
      </c>
      <c r="D36" t="str">
        <f t="shared" si="5"/>
        <v>47.551493, -101.002012</v>
      </c>
      <c r="E36">
        <v>2.3199999999999998</v>
      </c>
      <c r="F36">
        <f t="shared" si="4"/>
        <v>1124.1001240870462</v>
      </c>
      <c r="G36">
        <f t="shared" si="2"/>
        <v>121.13147888869032</v>
      </c>
      <c r="H36" s="4">
        <f t="shared" si="3"/>
        <v>121</v>
      </c>
      <c r="O36">
        <f>K2</f>
        <v>42.963830101270503</v>
      </c>
      <c r="P36">
        <f>K3</f>
        <v>-78.733618411975101</v>
      </c>
    </row>
    <row r="37" spans="1:16" x14ac:dyDescent="0.2">
      <c r="A37" s="4" t="s">
        <v>35</v>
      </c>
      <c r="B37">
        <v>40.417287000000002</v>
      </c>
      <c r="C37">
        <v>-82.907122999999999</v>
      </c>
      <c r="D37" t="str">
        <f t="shared" si="5"/>
        <v>40.417287, -82.907123</v>
      </c>
      <c r="E37">
        <v>34.65</v>
      </c>
      <c r="F37">
        <f t="shared" si="4"/>
        <v>278.03080567279119</v>
      </c>
      <c r="G37">
        <f t="shared" si="2"/>
        <v>2.0059942689234576</v>
      </c>
      <c r="H37" s="4">
        <f t="shared" si="3"/>
        <v>2</v>
      </c>
      <c r="O37">
        <f>K2</f>
        <v>42.963830101270503</v>
      </c>
      <c r="P37">
        <f>K3</f>
        <v>-78.733618411975101</v>
      </c>
    </row>
    <row r="38" spans="1:16" x14ac:dyDescent="0.2">
      <c r="A38" s="4" t="s">
        <v>36</v>
      </c>
      <c r="B38">
        <v>35.007752000000004</v>
      </c>
      <c r="C38">
        <v>-97.092877000000001</v>
      </c>
      <c r="D38" t="str">
        <f t="shared" si="5"/>
        <v>35.007752, -97.092877</v>
      </c>
      <c r="E38">
        <v>11.94</v>
      </c>
      <c r="F38">
        <f t="shared" si="4"/>
        <v>1125.4358445540945</v>
      </c>
      <c r="G38">
        <f t="shared" si="2"/>
        <v>23.564402105403989</v>
      </c>
      <c r="H38" s="4">
        <f t="shared" si="3"/>
        <v>24</v>
      </c>
      <c r="O38">
        <f>K2</f>
        <v>42.963830101270503</v>
      </c>
      <c r="P38">
        <f>K3</f>
        <v>-78.733618411975101</v>
      </c>
    </row>
    <row r="39" spans="1:16" x14ac:dyDescent="0.2">
      <c r="A39" s="4" t="s">
        <v>37</v>
      </c>
      <c r="B39">
        <v>43.804133</v>
      </c>
      <c r="C39">
        <v>-120.55420100000001</v>
      </c>
      <c r="D39" t="str">
        <f t="shared" si="5"/>
        <v>43.804133, -120.554201</v>
      </c>
      <c r="E39">
        <v>12.46</v>
      </c>
      <c r="F39">
        <f t="shared" si="4"/>
        <v>2078.3271741402286</v>
      </c>
      <c r="G39">
        <f t="shared" si="2"/>
        <v>41.699983429779863</v>
      </c>
      <c r="H39" s="4">
        <f t="shared" si="3"/>
        <v>42</v>
      </c>
      <c r="O39">
        <f>K2</f>
        <v>42.963830101270503</v>
      </c>
      <c r="P39">
        <f>K3</f>
        <v>-78.733618411975101</v>
      </c>
    </row>
    <row r="40" spans="1:16" x14ac:dyDescent="0.2">
      <c r="A40" s="4" t="s">
        <v>38</v>
      </c>
      <c r="B40">
        <v>41.203322</v>
      </c>
      <c r="C40">
        <v>-77.194524999999999</v>
      </c>
      <c r="D40" t="str">
        <f t="shared" si="5"/>
        <v>41.203322, -77.194525</v>
      </c>
      <c r="E40">
        <v>38.130000000000003</v>
      </c>
      <c r="F40">
        <f t="shared" si="4"/>
        <v>145.0024143417381</v>
      </c>
      <c r="G40">
        <f t="shared" si="2"/>
        <v>0.9507108204939555</v>
      </c>
      <c r="H40" s="4">
        <f t="shared" si="3"/>
        <v>1</v>
      </c>
      <c r="O40">
        <f>K2</f>
        <v>42.963830101270503</v>
      </c>
      <c r="P40">
        <f>K3</f>
        <v>-78.733618411975101</v>
      </c>
    </row>
    <row r="41" spans="1:16" x14ac:dyDescent="0.2">
      <c r="A41" s="4" t="s">
        <v>39</v>
      </c>
      <c r="B41">
        <v>41.580095</v>
      </c>
      <c r="C41">
        <v>-71.477429000000001</v>
      </c>
      <c r="D41" t="str">
        <f t="shared" si="5"/>
        <v>41.580095, -71.477429</v>
      </c>
      <c r="E41">
        <v>3.24</v>
      </c>
      <c r="F41">
        <f t="shared" ref="F41:F57" si="6">ACOS(COS(RADIANS(90-O42)) * COS(RADIANS(90-B41)) + SIN(RADIANS(90-O42)) * SIN(RADIANS(90-B41)) * COS(RADIANS(P42-C41))) * 3959</f>
        <v>382.98830747559367</v>
      </c>
      <c r="G41">
        <f t="shared" si="2"/>
        <v>29.551566934845187</v>
      </c>
      <c r="H41" s="4">
        <f t="shared" si="3"/>
        <v>30</v>
      </c>
      <c r="O41">
        <f>K2</f>
        <v>42.963830101270503</v>
      </c>
      <c r="P41">
        <f>K3</f>
        <v>-78.733618411975101</v>
      </c>
    </row>
    <row r="42" spans="1:16" x14ac:dyDescent="0.2">
      <c r="A42" s="4" t="s">
        <v>40</v>
      </c>
      <c r="B42">
        <v>33.836081</v>
      </c>
      <c r="C42">
        <v>-81.163724999999999</v>
      </c>
      <c r="D42" t="str">
        <f t="shared" si="5"/>
        <v>33.836081, -81.163725</v>
      </c>
      <c r="E42">
        <v>15.97</v>
      </c>
      <c r="F42">
        <f t="shared" si="6"/>
        <v>644.20445886078699</v>
      </c>
      <c r="G42">
        <f t="shared" si="2"/>
        <v>10.084603300888963</v>
      </c>
      <c r="H42" s="4">
        <f t="shared" si="3"/>
        <v>10</v>
      </c>
      <c r="O42">
        <f>K2</f>
        <v>42.963830101270503</v>
      </c>
      <c r="P42">
        <f>K3</f>
        <v>-78.733618411975101</v>
      </c>
    </row>
    <row r="43" spans="1:16" x14ac:dyDescent="0.2">
      <c r="A43" s="4" t="s">
        <v>41</v>
      </c>
      <c r="B43">
        <v>43.969515000000001</v>
      </c>
      <c r="C43">
        <v>-99.901813000000004</v>
      </c>
      <c r="D43" t="str">
        <f t="shared" si="5"/>
        <v>43.969515, -99.901813</v>
      </c>
      <c r="E43">
        <v>2.7</v>
      </c>
      <c r="F43">
        <f t="shared" si="6"/>
        <v>1060.9218469806119</v>
      </c>
      <c r="G43">
        <f t="shared" si="2"/>
        <v>98.233504350056648</v>
      </c>
      <c r="H43" s="4">
        <f t="shared" si="3"/>
        <v>98</v>
      </c>
      <c r="O43">
        <f>K2</f>
        <v>42.963830101270503</v>
      </c>
      <c r="P43">
        <f>K3</f>
        <v>-78.733618411975101</v>
      </c>
    </row>
    <row r="44" spans="1:16" x14ac:dyDescent="0.2">
      <c r="A44" s="4" t="s">
        <v>42</v>
      </c>
      <c r="B44">
        <v>35.517491</v>
      </c>
      <c r="C44">
        <v>-86.580447000000007</v>
      </c>
      <c r="D44" t="str">
        <f t="shared" si="5"/>
        <v>35.517491, -86.580447</v>
      </c>
      <c r="E44">
        <v>21.07</v>
      </c>
      <c r="F44">
        <f t="shared" si="6"/>
        <v>663.49031289105824</v>
      </c>
      <c r="G44">
        <f t="shared" si="2"/>
        <v>7.8724526921103255</v>
      </c>
      <c r="H44" s="4">
        <f t="shared" si="3"/>
        <v>8</v>
      </c>
      <c r="O44">
        <f>K2</f>
        <v>42.963830101270503</v>
      </c>
      <c r="P44">
        <f>K3</f>
        <v>-78.733618411975101</v>
      </c>
    </row>
    <row r="45" spans="1:16" x14ac:dyDescent="0.2">
      <c r="A45" s="4" t="s">
        <v>43</v>
      </c>
      <c r="B45">
        <v>31.968599000000001</v>
      </c>
      <c r="C45">
        <v>-99.901813000000004</v>
      </c>
      <c r="D45" t="str">
        <f t="shared" si="5"/>
        <v>31.968599, -99.901813</v>
      </c>
      <c r="E45">
        <v>91.23</v>
      </c>
      <c r="F45">
        <f t="shared" si="6"/>
        <v>1381.2390487999139</v>
      </c>
      <c r="G45">
        <f t="shared" si="2"/>
        <v>3.7850461712153729</v>
      </c>
      <c r="H45" s="4">
        <f t="shared" si="3"/>
        <v>4</v>
      </c>
      <c r="O45">
        <f>K2</f>
        <v>42.963830101270503</v>
      </c>
      <c r="P45">
        <f>K3</f>
        <v>-78.733618411975101</v>
      </c>
    </row>
    <row r="46" spans="1:16" x14ac:dyDescent="0.2">
      <c r="A46" s="4" t="s">
        <v>44</v>
      </c>
      <c r="B46">
        <v>39.320979999999999</v>
      </c>
      <c r="C46">
        <v>-111.09373100000001</v>
      </c>
      <c r="D46" t="str">
        <f t="shared" si="5"/>
        <v>39.32098, -111.093731</v>
      </c>
      <c r="E46">
        <v>10.210000000000001</v>
      </c>
      <c r="F46">
        <f t="shared" si="6"/>
        <v>1691.9253330806614</v>
      </c>
      <c r="G46">
        <f t="shared" si="2"/>
        <v>41.428142337920207</v>
      </c>
      <c r="H46" s="4">
        <f t="shared" si="3"/>
        <v>41</v>
      </c>
      <c r="O46">
        <f>K2</f>
        <v>42.963830101270503</v>
      </c>
      <c r="P46">
        <f>K3</f>
        <v>-78.733618411975101</v>
      </c>
    </row>
    <row r="47" spans="1:16" x14ac:dyDescent="0.2">
      <c r="A47" s="4" t="s">
        <v>45</v>
      </c>
      <c r="B47">
        <v>44.558802999999997</v>
      </c>
      <c r="C47">
        <v>-72.577841000000006</v>
      </c>
      <c r="D47" t="str">
        <f t="shared" si="5"/>
        <v>44.558803, -72.577841</v>
      </c>
      <c r="E47">
        <v>1.89</v>
      </c>
      <c r="F47">
        <f t="shared" si="6"/>
        <v>326.26807756394851</v>
      </c>
      <c r="G47">
        <f t="shared" si="2"/>
        <v>43.157153116924405</v>
      </c>
      <c r="H47" s="4">
        <f t="shared" si="3"/>
        <v>43</v>
      </c>
      <c r="O47">
        <f>K2</f>
        <v>42.963830101270503</v>
      </c>
      <c r="P47">
        <f>K3</f>
        <v>-78.733618411975101</v>
      </c>
    </row>
    <row r="48" spans="1:16" x14ac:dyDescent="0.2">
      <c r="A48" s="4" t="s">
        <v>46</v>
      </c>
      <c r="B48">
        <v>37.431573</v>
      </c>
      <c r="C48">
        <v>-78.656893999999994</v>
      </c>
      <c r="D48" t="str">
        <f t="shared" si="5"/>
        <v>37.431573, -78.656894</v>
      </c>
      <c r="E48">
        <v>25.69</v>
      </c>
      <c r="F48">
        <f t="shared" si="6"/>
        <v>382.28700054540519</v>
      </c>
      <c r="G48">
        <f t="shared" si="2"/>
        <v>3.7201926872849862</v>
      </c>
      <c r="H48" s="4">
        <f t="shared" si="3"/>
        <v>4</v>
      </c>
      <c r="O48">
        <f>K2</f>
        <v>42.963830101270503</v>
      </c>
      <c r="P48">
        <f>K3</f>
        <v>-78.733618411975101</v>
      </c>
    </row>
    <row r="49" spans="1:16" x14ac:dyDescent="0.2">
      <c r="A49" s="4" t="s">
        <v>47</v>
      </c>
      <c r="B49">
        <v>47.751074000000003</v>
      </c>
      <c r="C49">
        <v>-120.740139</v>
      </c>
      <c r="D49" t="str">
        <f t="shared" si="5"/>
        <v>47.751074, -120.740139</v>
      </c>
      <c r="E49">
        <v>23.2</v>
      </c>
      <c r="F49">
        <f t="shared" si="6"/>
        <v>2040.458983161674</v>
      </c>
      <c r="G49">
        <f t="shared" si="2"/>
        <v>21.987704559931831</v>
      </c>
      <c r="H49" s="4">
        <f t="shared" si="3"/>
        <v>22</v>
      </c>
      <c r="O49">
        <f>K2</f>
        <v>42.963830101270503</v>
      </c>
      <c r="P49">
        <f>K3</f>
        <v>-78.733618411975101</v>
      </c>
    </row>
    <row r="50" spans="1:16" x14ac:dyDescent="0.2">
      <c r="A50" s="4" t="s">
        <v>48</v>
      </c>
      <c r="B50">
        <v>38.597625999999998</v>
      </c>
      <c r="C50">
        <v>-80.454903000000002</v>
      </c>
      <c r="D50" t="str">
        <f t="shared" si="5"/>
        <v>38.597626, -80.454903</v>
      </c>
      <c r="E50">
        <v>5.16</v>
      </c>
      <c r="F50">
        <f t="shared" si="6"/>
        <v>314.82903086688594</v>
      </c>
      <c r="G50">
        <f t="shared" si="2"/>
        <v>15.253344518744473</v>
      </c>
      <c r="H50" s="4">
        <f t="shared" si="3"/>
        <v>15</v>
      </c>
      <c r="O50">
        <f>K2</f>
        <v>42.963830101270503</v>
      </c>
      <c r="P50">
        <f>K3</f>
        <v>-78.733618411975101</v>
      </c>
    </row>
    <row r="51" spans="1:16" x14ac:dyDescent="0.2">
      <c r="A51" s="4" t="s">
        <v>49</v>
      </c>
      <c r="B51">
        <v>43.784439999999996</v>
      </c>
      <c r="C51">
        <v>-88.787868000000003</v>
      </c>
      <c r="D51" t="str">
        <f t="shared" si="5"/>
        <v>43.78444, -88.787868</v>
      </c>
      <c r="E51">
        <v>17.38</v>
      </c>
      <c r="F51">
        <f t="shared" si="6"/>
        <v>507.83809172496586</v>
      </c>
      <c r="G51">
        <f t="shared" si="2"/>
        <v>7.3049207670449636</v>
      </c>
      <c r="H51" s="4">
        <f t="shared" si="3"/>
        <v>7</v>
      </c>
      <c r="O51">
        <f>K2</f>
        <v>42.963830101270503</v>
      </c>
      <c r="P51">
        <f>K3</f>
        <v>-78.733618411975101</v>
      </c>
    </row>
    <row r="52" spans="1:16" x14ac:dyDescent="0.2">
      <c r="A52" s="4" t="s">
        <v>50</v>
      </c>
      <c r="B52">
        <v>43.075968000000003</v>
      </c>
      <c r="C52">
        <v>-107.290284</v>
      </c>
      <c r="D52" t="str">
        <f t="shared" si="5"/>
        <v>43.075968, -107.290284</v>
      </c>
      <c r="E52">
        <v>1.71</v>
      </c>
      <c r="F52">
        <f t="shared" si="6"/>
        <v>1435.6241539359287</v>
      </c>
      <c r="G52">
        <f t="shared" si="2"/>
        <v>209.88657221285507</v>
      </c>
      <c r="H52" s="4">
        <f t="shared" si="3"/>
        <v>210</v>
      </c>
      <c r="O52">
        <f>K2</f>
        <v>42.963830101270503</v>
      </c>
      <c r="P52">
        <f>K3</f>
        <v>-78.733618411975101</v>
      </c>
    </row>
    <row r="53" spans="1:16" x14ac:dyDescent="0.2">
      <c r="A53" s="4" t="s">
        <v>55</v>
      </c>
      <c r="B53">
        <v>55.000000999999997</v>
      </c>
      <c r="C53">
        <v>-115.000001</v>
      </c>
      <c r="D53" t="str">
        <f t="shared" si="5"/>
        <v>55.000001, -115.000001</v>
      </c>
      <c r="E53">
        <v>12.44</v>
      </c>
      <c r="F53">
        <f t="shared" si="6"/>
        <v>1815.3270808170807</v>
      </c>
      <c r="G53">
        <f t="shared" si="2"/>
        <v>36.481653553397926</v>
      </c>
      <c r="H53" s="4">
        <f t="shared" si="3"/>
        <v>36</v>
      </c>
      <c r="O53">
        <f>K2</f>
        <v>42.963830101270503</v>
      </c>
      <c r="P53">
        <f>K3</f>
        <v>-78.733618411975101</v>
      </c>
    </row>
    <row r="54" spans="1:16" x14ac:dyDescent="0.2">
      <c r="A54" s="4" t="s">
        <v>56</v>
      </c>
      <c r="B54">
        <v>53.726669000000001</v>
      </c>
      <c r="C54">
        <v>-127.647621</v>
      </c>
      <c r="D54" t="str">
        <f t="shared" si="5"/>
        <v>53.726669, -127.647621</v>
      </c>
      <c r="E54">
        <v>14.6</v>
      </c>
      <c r="F54">
        <f t="shared" si="6"/>
        <v>2314.028815228954</v>
      </c>
      <c r="G54">
        <f t="shared" si="2"/>
        <v>39.623781082687572</v>
      </c>
      <c r="H54" s="4">
        <f t="shared" si="3"/>
        <v>40</v>
      </c>
      <c r="O54">
        <f>K2</f>
        <v>42.963830101270503</v>
      </c>
      <c r="P54">
        <f>K3</f>
        <v>-78.733618411975101</v>
      </c>
    </row>
    <row r="55" spans="1:16" x14ac:dyDescent="0.2">
      <c r="A55" s="4" t="s">
        <v>57</v>
      </c>
      <c r="B55">
        <v>56.415210999999999</v>
      </c>
      <c r="C55">
        <v>-98.739075</v>
      </c>
      <c r="D55" t="str">
        <f t="shared" si="5"/>
        <v>56.415211, -98.739075</v>
      </c>
      <c r="E55">
        <v>3.92</v>
      </c>
      <c r="F55">
        <f t="shared" si="6"/>
        <v>1280.5702580664051</v>
      </c>
      <c r="G55">
        <f t="shared" si="2"/>
        <v>81.669021560357479</v>
      </c>
      <c r="H55" s="4">
        <f t="shared" si="3"/>
        <v>82</v>
      </c>
      <c r="O55">
        <f>K2</f>
        <v>42.963830101270503</v>
      </c>
      <c r="P55">
        <f>K3</f>
        <v>-78.733618411975101</v>
      </c>
    </row>
    <row r="56" spans="1:16" x14ac:dyDescent="0.2">
      <c r="A56" s="4" t="s">
        <v>59</v>
      </c>
      <c r="B56">
        <v>46.498390000000001</v>
      </c>
      <c r="C56">
        <v>-66.159667999999996</v>
      </c>
      <c r="D56" t="str">
        <f t="shared" si="5"/>
        <v>46.49839, -66.159668</v>
      </c>
      <c r="E56">
        <v>2.2599999999999998</v>
      </c>
      <c r="F56">
        <f t="shared" si="6"/>
        <v>662.86348920811747</v>
      </c>
      <c r="G56">
        <f t="shared" si="2"/>
        <v>73.325607213287341</v>
      </c>
      <c r="H56" s="4">
        <f t="shared" si="3"/>
        <v>73</v>
      </c>
      <c r="O56">
        <f>K2</f>
        <v>42.963830101270503</v>
      </c>
      <c r="P56">
        <f>K3</f>
        <v>-78.733618411975101</v>
      </c>
    </row>
    <row r="57" spans="1:16" x14ac:dyDescent="0.2">
      <c r="A57" s="4" t="s">
        <v>58</v>
      </c>
      <c r="B57">
        <v>53.135508999999999</v>
      </c>
      <c r="C57">
        <v>-57.660435</v>
      </c>
      <c r="D57" t="str">
        <f t="shared" si="5"/>
        <v>53.135509, -57.660435</v>
      </c>
      <c r="E57">
        <v>1.49</v>
      </c>
      <c r="F57">
        <f t="shared" si="6"/>
        <v>1193.2332225068894</v>
      </c>
      <c r="G57">
        <f t="shared" si="2"/>
        <v>200.20691652800159</v>
      </c>
      <c r="H57" s="4">
        <f t="shared" si="3"/>
        <v>200</v>
      </c>
      <c r="O57">
        <f>K2</f>
        <v>42.963830101270503</v>
      </c>
      <c r="P57">
        <f>K3</f>
        <v>-78.733618411975101</v>
      </c>
    </row>
    <row r="58" spans="1:16" x14ac:dyDescent="0.2">
      <c r="A58" s="4" t="s">
        <v>74</v>
      </c>
      <c r="B58">
        <v>63.588799999999999</v>
      </c>
      <c r="C58">
        <v>-115.5069</v>
      </c>
      <c r="D58" t="str">
        <f t="shared" si="5"/>
        <v>63.5888, -115.5069</v>
      </c>
      <c r="E58">
        <v>0.12</v>
      </c>
      <c r="F58">
        <f t="shared" ref="F58:F65" si="7">ACOS(COS(RADIANS(90-O59)) * COS(RADIANS(90-B58)) + SIN(RADIANS(90-O59)) * SIN(RADIANS(90-B58)) * COS(RADIANS(P59-C58))) * 3959</f>
        <v>2032.1120772645127</v>
      </c>
      <c r="G58">
        <f t="shared" si="2"/>
        <v>4233.5668276344013</v>
      </c>
      <c r="H58" s="4">
        <f t="shared" si="3"/>
        <v>4234</v>
      </c>
      <c r="O58">
        <f>K2</f>
        <v>42.963830101270503</v>
      </c>
      <c r="P58">
        <f>K3</f>
        <v>-78.733618411975101</v>
      </c>
    </row>
    <row r="59" spans="1:16" x14ac:dyDescent="0.2">
      <c r="A59" s="4" t="s">
        <v>54</v>
      </c>
      <c r="B59">
        <v>45.000000999999997</v>
      </c>
      <c r="C59">
        <v>-63.000000999999997</v>
      </c>
      <c r="D59" t="str">
        <f t="shared" si="5"/>
        <v>45.000001, -63.000001</v>
      </c>
      <c r="E59">
        <v>2.83</v>
      </c>
      <c r="F59">
        <f t="shared" si="7"/>
        <v>793.49922243632545</v>
      </c>
      <c r="G59">
        <f t="shared" si="2"/>
        <v>70.097104455505786</v>
      </c>
      <c r="H59" s="4">
        <f t="shared" si="3"/>
        <v>70</v>
      </c>
      <c r="O59">
        <f>K2</f>
        <v>42.963830101270503</v>
      </c>
      <c r="P59">
        <f>K3</f>
        <v>-78.733618411975101</v>
      </c>
    </row>
    <row r="60" spans="1:16" x14ac:dyDescent="0.2">
      <c r="A60" s="4" t="s">
        <v>76</v>
      </c>
      <c r="B60">
        <v>64.248000000000005</v>
      </c>
      <c r="C60">
        <v>84.889600000000002</v>
      </c>
      <c r="D60" t="str">
        <f t="shared" si="5"/>
        <v>64.248, 84.8896</v>
      </c>
      <c r="E60">
        <v>0.11</v>
      </c>
      <c r="F60">
        <f t="shared" si="7"/>
        <v>4975.9095121433256</v>
      </c>
      <c r="G60">
        <f t="shared" si="2"/>
        <v>11308.885254871195</v>
      </c>
      <c r="H60" s="4">
        <f t="shared" si="3"/>
        <v>11309</v>
      </c>
      <c r="O60">
        <f>K2</f>
        <v>42.963830101270503</v>
      </c>
      <c r="P60">
        <f>K3</f>
        <v>-78.733618411975101</v>
      </c>
    </row>
    <row r="61" spans="1:16" x14ac:dyDescent="0.2">
      <c r="A61" s="4" t="s">
        <v>53</v>
      </c>
      <c r="B61">
        <v>50.000000999999997</v>
      </c>
      <c r="C61">
        <v>-85.000000999999997</v>
      </c>
      <c r="D61" t="str">
        <f t="shared" si="5"/>
        <v>50.000001, -85.000001</v>
      </c>
      <c r="E61">
        <v>41.52</v>
      </c>
      <c r="F61">
        <f t="shared" si="7"/>
        <v>569.85695799861128</v>
      </c>
      <c r="G61">
        <f t="shared" si="2"/>
        <v>3.4312196411284397</v>
      </c>
      <c r="H61" s="4">
        <f t="shared" si="3"/>
        <v>3</v>
      </c>
      <c r="O61">
        <f>K2</f>
        <v>42.963830101270503</v>
      </c>
      <c r="P61">
        <f>K3</f>
        <v>-78.733618411975101</v>
      </c>
    </row>
    <row r="62" spans="1:16" x14ac:dyDescent="0.2">
      <c r="A62" s="4" t="s">
        <v>61</v>
      </c>
      <c r="B62">
        <v>46.250000999999997</v>
      </c>
      <c r="C62">
        <v>-63.000000999999997</v>
      </c>
      <c r="D62" t="str">
        <f t="shared" si="5"/>
        <v>46.250001, -63.000001</v>
      </c>
      <c r="E62">
        <v>0.45</v>
      </c>
      <c r="F62">
        <f t="shared" si="7"/>
        <v>805.05651420575009</v>
      </c>
      <c r="G62">
        <f t="shared" si="2"/>
        <v>447.2536190031945</v>
      </c>
      <c r="H62" s="4">
        <f t="shared" si="3"/>
        <v>447</v>
      </c>
      <c r="O62">
        <f>K2</f>
        <v>42.963830101270503</v>
      </c>
      <c r="P62">
        <f>K3</f>
        <v>-78.733618411975101</v>
      </c>
    </row>
    <row r="63" spans="1:16" x14ac:dyDescent="0.2">
      <c r="A63" s="4" t="s">
        <v>60</v>
      </c>
      <c r="B63">
        <v>53.000000999999997</v>
      </c>
      <c r="C63">
        <v>-70.000000999999997</v>
      </c>
      <c r="D63" t="str">
        <f t="shared" si="5"/>
        <v>53.000001, -70.000001</v>
      </c>
      <c r="E63">
        <v>24.82</v>
      </c>
      <c r="F63">
        <f t="shared" si="7"/>
        <v>801.21206100904681</v>
      </c>
      <c r="G63">
        <f t="shared" si="2"/>
        <v>8.0702262390113493</v>
      </c>
      <c r="H63" s="4">
        <f t="shared" si="3"/>
        <v>8</v>
      </c>
      <c r="O63">
        <f>K2</f>
        <v>42.963830101270503</v>
      </c>
      <c r="P63">
        <f>K3</f>
        <v>-78.733618411975101</v>
      </c>
    </row>
    <row r="64" spans="1:16" x14ac:dyDescent="0.2">
      <c r="A64" s="4" t="s">
        <v>52</v>
      </c>
      <c r="B64">
        <v>55.000000999999997</v>
      </c>
      <c r="C64">
        <v>-106.000001</v>
      </c>
      <c r="D64" t="str">
        <f t="shared" si="5"/>
        <v>55.000001, -106.000001</v>
      </c>
      <c r="E64">
        <v>3.31</v>
      </c>
      <c r="F64">
        <f t="shared" si="7"/>
        <v>1475.1897532126479</v>
      </c>
      <c r="G64">
        <f t="shared" si="2"/>
        <v>111.41916565050211</v>
      </c>
      <c r="H64" s="4">
        <f t="shared" si="3"/>
        <v>111</v>
      </c>
      <c r="O64">
        <f>K2</f>
        <v>42.963830101270503</v>
      </c>
      <c r="P64">
        <f>K3</f>
        <v>-78.733618411975101</v>
      </c>
    </row>
    <row r="65" spans="1:16" x14ac:dyDescent="0.2">
      <c r="A65" s="4" t="s">
        <v>75</v>
      </c>
      <c r="B65">
        <v>64.28</v>
      </c>
      <c r="C65">
        <v>-135</v>
      </c>
      <c r="D65" t="str">
        <f t="shared" si="5"/>
        <v>64.28, -135</v>
      </c>
      <c r="E65">
        <v>0.12</v>
      </c>
      <c r="F65">
        <f t="shared" si="7"/>
        <v>2610.4777407000024</v>
      </c>
      <c r="G65">
        <f t="shared" si="2"/>
        <v>5438.4952931250054</v>
      </c>
      <c r="H65" s="4">
        <f t="shared" si="3"/>
        <v>5438</v>
      </c>
      <c r="O65">
        <f>K2</f>
        <v>42.963830101270503</v>
      </c>
      <c r="P65">
        <f>K3</f>
        <v>-78.733618411975101</v>
      </c>
    </row>
    <row r="66" spans="1:16" x14ac:dyDescent="0.2">
      <c r="O66">
        <f>K2</f>
        <v>42.963830101270503</v>
      </c>
      <c r="P66">
        <f>K3</f>
        <v>-78.733618411975101</v>
      </c>
    </row>
    <row r="174" spans="4:4" x14ac:dyDescent="0.2">
      <c r="D174" t="str">
        <f t="shared" ref="D174" si="8">B174&amp;", "&amp;C174</f>
        <v xml:space="preserve">, </v>
      </c>
    </row>
    <row r="1048576" spans="16:16" x14ac:dyDescent="0.2">
      <c r="P1048576">
        <f>K3</f>
        <v>-78.733618411975101</v>
      </c>
    </row>
  </sheetData>
  <sortState xmlns:xlrd2="http://schemas.microsoft.com/office/spreadsheetml/2017/richdata2" ref="A53:F65">
    <sortCondition ref="A53:A65"/>
  </sortState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31DC9-099F-3C45-9049-3EC2CA215F0C}">
  <dimension ref="A1:E53"/>
  <sheetViews>
    <sheetView workbookViewId="0">
      <selection activeCell="C53" sqref="C53"/>
    </sheetView>
  </sheetViews>
  <sheetFormatPr baseColWidth="10" defaultRowHeight="16" x14ac:dyDescent="0.2"/>
  <cols>
    <col min="2" max="2" width="12.1640625" customWidth="1"/>
  </cols>
  <sheetData>
    <row r="1" spans="1:5" x14ac:dyDescent="0.2">
      <c r="A1" t="s">
        <v>70</v>
      </c>
      <c r="B1" t="s">
        <v>71</v>
      </c>
      <c r="D1" t="s">
        <v>77</v>
      </c>
      <c r="E1" t="s">
        <v>71</v>
      </c>
    </row>
    <row r="2" spans="1:5" x14ac:dyDescent="0.2">
      <c r="A2" t="s">
        <v>11</v>
      </c>
      <c r="B2">
        <v>394</v>
      </c>
      <c r="D2" t="s">
        <v>76</v>
      </c>
      <c r="E2">
        <v>11309</v>
      </c>
    </row>
    <row r="3" spans="1:5" x14ac:dyDescent="0.2">
      <c r="A3" t="s">
        <v>2</v>
      </c>
      <c r="B3">
        <v>371</v>
      </c>
      <c r="D3" t="s">
        <v>75</v>
      </c>
      <c r="E3">
        <v>5438</v>
      </c>
    </row>
    <row r="4" spans="1:5" x14ac:dyDescent="0.2">
      <c r="A4" t="s">
        <v>50</v>
      </c>
      <c r="B4">
        <v>210</v>
      </c>
      <c r="D4" t="s">
        <v>74</v>
      </c>
      <c r="E4">
        <v>4234</v>
      </c>
    </row>
    <row r="5" spans="1:5" x14ac:dyDescent="0.2">
      <c r="A5" t="s">
        <v>34</v>
      </c>
      <c r="B5">
        <v>121</v>
      </c>
      <c r="D5" t="s">
        <v>61</v>
      </c>
      <c r="E5">
        <v>447</v>
      </c>
    </row>
    <row r="6" spans="1:5" x14ac:dyDescent="0.2">
      <c r="A6" t="s">
        <v>26</v>
      </c>
      <c r="B6">
        <v>117</v>
      </c>
      <c r="D6" t="s">
        <v>58</v>
      </c>
      <c r="E6">
        <v>200</v>
      </c>
    </row>
    <row r="7" spans="1:5" x14ac:dyDescent="0.2">
      <c r="A7" t="s">
        <v>41</v>
      </c>
      <c r="B7">
        <v>98</v>
      </c>
      <c r="D7" t="s">
        <v>52</v>
      </c>
      <c r="E7">
        <v>111</v>
      </c>
    </row>
    <row r="8" spans="1:5" x14ac:dyDescent="0.2">
      <c r="A8" t="s">
        <v>12</v>
      </c>
      <c r="B8">
        <v>77</v>
      </c>
      <c r="D8" t="s">
        <v>57</v>
      </c>
      <c r="E8">
        <v>82</v>
      </c>
    </row>
    <row r="9" spans="1:5" x14ac:dyDescent="0.2">
      <c r="A9" t="s">
        <v>31</v>
      </c>
      <c r="B9">
        <v>61</v>
      </c>
      <c r="D9" t="s">
        <v>59</v>
      </c>
      <c r="E9">
        <v>73</v>
      </c>
    </row>
    <row r="10" spans="1:5" x14ac:dyDescent="0.2">
      <c r="A10" t="s">
        <v>28</v>
      </c>
      <c r="B10">
        <v>52</v>
      </c>
      <c r="D10" t="s">
        <v>54</v>
      </c>
      <c r="E10">
        <v>70</v>
      </c>
    </row>
    <row r="11" spans="1:5" x14ac:dyDescent="0.2">
      <c r="A11" t="s">
        <v>27</v>
      </c>
      <c r="B11">
        <v>46</v>
      </c>
      <c r="D11" t="s">
        <v>56</v>
      </c>
      <c r="E11">
        <v>40</v>
      </c>
    </row>
    <row r="12" spans="1:5" x14ac:dyDescent="0.2">
      <c r="A12" t="s">
        <v>45</v>
      </c>
      <c r="B12">
        <v>43</v>
      </c>
      <c r="D12" t="s">
        <v>55</v>
      </c>
      <c r="E12">
        <v>36</v>
      </c>
    </row>
    <row r="13" spans="1:5" x14ac:dyDescent="0.2">
      <c r="A13" t="s">
        <v>37</v>
      </c>
      <c r="B13">
        <v>42</v>
      </c>
      <c r="D13" t="s">
        <v>60</v>
      </c>
      <c r="E13">
        <v>8</v>
      </c>
    </row>
    <row r="14" spans="1:5" x14ac:dyDescent="0.2">
      <c r="A14" t="s">
        <v>44</v>
      </c>
      <c r="B14">
        <v>41</v>
      </c>
      <c r="D14" t="s">
        <v>53</v>
      </c>
      <c r="E14">
        <v>3</v>
      </c>
    </row>
    <row r="15" spans="1:5" x14ac:dyDescent="0.2">
      <c r="A15" t="s">
        <v>51</v>
      </c>
      <c r="B15">
        <v>36</v>
      </c>
      <c r="E15">
        <f>SUM(E2:E14)</f>
        <v>22051</v>
      </c>
    </row>
    <row r="16" spans="1:5" x14ac:dyDescent="0.2">
      <c r="A16" t="s">
        <v>16</v>
      </c>
      <c r="B16">
        <v>31</v>
      </c>
      <c r="E16">
        <f>E15+B53</f>
        <v>24226</v>
      </c>
    </row>
    <row r="17" spans="1:2" x14ac:dyDescent="0.2">
      <c r="A17" t="s">
        <v>19</v>
      </c>
      <c r="B17">
        <v>30</v>
      </c>
    </row>
    <row r="18" spans="1:2" x14ac:dyDescent="0.2">
      <c r="A18" t="s">
        <v>39</v>
      </c>
      <c r="B18">
        <v>30</v>
      </c>
    </row>
    <row r="19" spans="1:2" x14ac:dyDescent="0.2">
      <c r="A19" t="s">
        <v>8</v>
      </c>
      <c r="B19">
        <v>27</v>
      </c>
    </row>
    <row r="20" spans="1:2" x14ac:dyDescent="0.2">
      <c r="A20" t="s">
        <v>24</v>
      </c>
      <c r="B20">
        <v>27</v>
      </c>
    </row>
    <row r="21" spans="1:2" x14ac:dyDescent="0.2">
      <c r="A21" t="s">
        <v>4</v>
      </c>
      <c r="B21">
        <v>25</v>
      </c>
    </row>
    <row r="22" spans="1:2" x14ac:dyDescent="0.2">
      <c r="A22" t="s">
        <v>36</v>
      </c>
      <c r="B22">
        <v>24</v>
      </c>
    </row>
    <row r="23" spans="1:2" x14ac:dyDescent="0.2">
      <c r="A23" t="s">
        <v>29</v>
      </c>
      <c r="B23">
        <v>22</v>
      </c>
    </row>
    <row r="24" spans="1:2" x14ac:dyDescent="0.2">
      <c r="A24" t="s">
        <v>47</v>
      </c>
      <c r="B24">
        <v>22</v>
      </c>
    </row>
    <row r="25" spans="1:2" x14ac:dyDescent="0.2">
      <c r="A25" t="s">
        <v>3</v>
      </c>
      <c r="B25">
        <v>21</v>
      </c>
    </row>
    <row r="26" spans="1:2" x14ac:dyDescent="0.2">
      <c r="A26" t="s">
        <v>6</v>
      </c>
      <c r="B26">
        <v>20</v>
      </c>
    </row>
    <row r="27" spans="1:2" x14ac:dyDescent="0.2">
      <c r="A27" t="s">
        <v>18</v>
      </c>
      <c r="B27">
        <v>20</v>
      </c>
    </row>
    <row r="28" spans="1:2" x14ac:dyDescent="0.2">
      <c r="A28" t="s">
        <v>15</v>
      </c>
      <c r="B28">
        <v>19</v>
      </c>
    </row>
    <row r="29" spans="1:2" x14ac:dyDescent="0.2">
      <c r="A29" t="s">
        <v>48</v>
      </c>
      <c r="B29">
        <v>15</v>
      </c>
    </row>
    <row r="30" spans="1:2" x14ac:dyDescent="0.2">
      <c r="A30" t="s">
        <v>1</v>
      </c>
      <c r="B30">
        <v>14</v>
      </c>
    </row>
    <row r="31" spans="1:2" x14ac:dyDescent="0.2">
      <c r="A31" t="s">
        <v>23</v>
      </c>
      <c r="B31">
        <v>12</v>
      </c>
    </row>
    <row r="32" spans="1:2" x14ac:dyDescent="0.2">
      <c r="A32" t="s">
        <v>25</v>
      </c>
      <c r="B32">
        <v>11</v>
      </c>
    </row>
    <row r="33" spans="1:2" x14ac:dyDescent="0.2">
      <c r="A33" t="s">
        <v>40</v>
      </c>
      <c r="B33">
        <v>10</v>
      </c>
    </row>
    <row r="34" spans="1:2" x14ac:dyDescent="0.2">
      <c r="A34" t="s">
        <v>17</v>
      </c>
      <c r="B34">
        <v>9</v>
      </c>
    </row>
    <row r="35" spans="1:2" x14ac:dyDescent="0.2">
      <c r="A35" t="s">
        <v>42</v>
      </c>
      <c r="B35">
        <v>8</v>
      </c>
    </row>
    <row r="36" spans="1:2" x14ac:dyDescent="0.2">
      <c r="A36" t="s">
        <v>7</v>
      </c>
      <c r="B36">
        <v>7</v>
      </c>
    </row>
    <row r="37" spans="1:2" x14ac:dyDescent="0.2">
      <c r="A37" t="s">
        <v>49</v>
      </c>
      <c r="B37">
        <v>7</v>
      </c>
    </row>
    <row r="38" spans="1:2" x14ac:dyDescent="0.2">
      <c r="A38" t="s">
        <v>10</v>
      </c>
      <c r="B38">
        <v>6</v>
      </c>
    </row>
    <row r="39" spans="1:2" x14ac:dyDescent="0.2">
      <c r="A39" t="s">
        <v>5</v>
      </c>
      <c r="B39">
        <v>5</v>
      </c>
    </row>
    <row r="40" spans="1:2" x14ac:dyDescent="0.2">
      <c r="A40" t="s">
        <v>14</v>
      </c>
      <c r="B40">
        <v>5</v>
      </c>
    </row>
    <row r="41" spans="1:2" x14ac:dyDescent="0.2">
      <c r="A41" t="s">
        <v>21</v>
      </c>
      <c r="B41">
        <v>5</v>
      </c>
    </row>
    <row r="42" spans="1:2" x14ac:dyDescent="0.2">
      <c r="A42" t="s">
        <v>9</v>
      </c>
      <c r="B42">
        <v>4</v>
      </c>
    </row>
    <row r="43" spans="1:2" x14ac:dyDescent="0.2">
      <c r="A43" t="s">
        <v>13</v>
      </c>
      <c r="B43">
        <v>4</v>
      </c>
    </row>
    <row r="44" spans="1:2" x14ac:dyDescent="0.2">
      <c r="A44" t="s">
        <v>20</v>
      </c>
      <c r="B44">
        <v>4</v>
      </c>
    </row>
    <row r="45" spans="1:2" x14ac:dyDescent="0.2">
      <c r="A45" t="s">
        <v>33</v>
      </c>
      <c r="B45">
        <v>4</v>
      </c>
    </row>
    <row r="46" spans="1:2" x14ac:dyDescent="0.2">
      <c r="A46" t="s">
        <v>43</v>
      </c>
      <c r="B46">
        <v>4</v>
      </c>
    </row>
    <row r="47" spans="1:2" x14ac:dyDescent="0.2">
      <c r="A47" t="s">
        <v>46</v>
      </c>
      <c r="B47">
        <v>4</v>
      </c>
    </row>
    <row r="48" spans="1:2" x14ac:dyDescent="0.2">
      <c r="A48" t="s">
        <v>22</v>
      </c>
      <c r="B48">
        <v>3</v>
      </c>
    </row>
    <row r="49" spans="1:2" x14ac:dyDescent="0.2">
      <c r="A49" t="s">
        <v>30</v>
      </c>
      <c r="B49">
        <v>3</v>
      </c>
    </row>
    <row r="50" spans="1:2" x14ac:dyDescent="0.2">
      <c r="A50" t="s">
        <v>35</v>
      </c>
      <c r="B50">
        <v>2</v>
      </c>
    </row>
    <row r="51" spans="1:2" x14ac:dyDescent="0.2">
      <c r="A51" t="s">
        <v>32</v>
      </c>
      <c r="B51">
        <v>1</v>
      </c>
    </row>
    <row r="52" spans="1:2" x14ac:dyDescent="0.2">
      <c r="A52" t="s">
        <v>38</v>
      </c>
      <c r="B52">
        <v>1</v>
      </c>
    </row>
    <row r="53" spans="1:2" x14ac:dyDescent="0.2">
      <c r="B53">
        <f>SUM(B2:B52)</f>
        <v>2175</v>
      </c>
    </row>
  </sheetData>
  <sortState xmlns:xlrd2="http://schemas.microsoft.com/office/spreadsheetml/2017/richdata2" ref="D2:E14">
    <sortCondition descending="1" ref="E2:E14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E4E0-91BD-0541-B867-89131CA83340}">
  <dimension ref="A1:L51"/>
  <sheetViews>
    <sheetView tabSelected="1" zoomScale="91" workbookViewId="0">
      <selection activeCell="H19" sqref="H19"/>
    </sheetView>
  </sheetViews>
  <sheetFormatPr baseColWidth="10" defaultRowHeight="16" x14ac:dyDescent="0.2"/>
  <cols>
    <col min="3" max="3" width="24.5" customWidth="1"/>
    <col min="10" max="10" width="26.6640625" customWidth="1"/>
  </cols>
  <sheetData>
    <row r="1" spans="1:12" ht="18" x14ac:dyDescent="0.2">
      <c r="A1" s="1">
        <v>24</v>
      </c>
      <c r="B1" s="1" t="s">
        <v>1</v>
      </c>
      <c r="C1" s="2">
        <v>5157699</v>
      </c>
      <c r="D1">
        <f>(C1/343000000)*1000</f>
        <v>15.037023323615161</v>
      </c>
      <c r="E1">
        <f>ROUND(D1,2)</f>
        <v>15.04</v>
      </c>
      <c r="F1">
        <v>15.04</v>
      </c>
      <c r="H1" t="s">
        <v>72</v>
      </c>
      <c r="I1" s="4" t="s">
        <v>55</v>
      </c>
      <c r="J1" s="3">
        <v>4262635</v>
      </c>
      <c r="K1">
        <f>J1/37000000*108</f>
        <v>12.442285945945946</v>
      </c>
      <c r="L1">
        <f>ROUND(K1,2)</f>
        <v>12.44</v>
      </c>
    </row>
    <row r="2" spans="1:12" ht="18" x14ac:dyDescent="0.2">
      <c r="A2" s="1">
        <v>48</v>
      </c>
      <c r="B2" s="1" t="s">
        <v>2</v>
      </c>
      <c r="C2" s="2">
        <v>740133</v>
      </c>
      <c r="D2">
        <f t="shared" ref="D2:D51" si="0">(C2/343000000)*1000</f>
        <v>2.1578221574344028</v>
      </c>
      <c r="E2">
        <f t="shared" ref="E2:E51" si="1">ROUND(D2,2)</f>
        <v>2.16</v>
      </c>
      <c r="F2">
        <v>2.16</v>
      </c>
      <c r="I2" s="4" t="s">
        <v>56</v>
      </c>
      <c r="J2" s="3">
        <v>5000879</v>
      </c>
      <c r="K2">
        <f t="shared" ref="K2:K13" si="2">J2/37000000*108</f>
        <v>14.597160324324324</v>
      </c>
      <c r="L2">
        <f t="shared" ref="L2:L13" si="3">ROUND(K2,2)</f>
        <v>14.6</v>
      </c>
    </row>
    <row r="3" spans="1:12" ht="18" x14ac:dyDescent="0.2">
      <c r="A3" s="1">
        <v>14</v>
      </c>
      <c r="B3" s="1" t="s">
        <v>3</v>
      </c>
      <c r="C3" s="2">
        <v>7582384</v>
      </c>
      <c r="D3">
        <f t="shared" si="0"/>
        <v>22.10607580174927</v>
      </c>
      <c r="E3">
        <f t="shared" si="1"/>
        <v>22.11</v>
      </c>
      <c r="F3">
        <v>22.11</v>
      </c>
      <c r="I3" s="4" t="s">
        <v>57</v>
      </c>
      <c r="J3" s="3">
        <v>1342153</v>
      </c>
      <c r="K3">
        <f t="shared" si="2"/>
        <v>3.9176357837837839</v>
      </c>
      <c r="L3">
        <f t="shared" si="3"/>
        <v>3.92</v>
      </c>
    </row>
    <row r="4" spans="1:12" ht="18" x14ac:dyDescent="0.2">
      <c r="A4" s="1">
        <v>33</v>
      </c>
      <c r="B4" s="1" t="s">
        <v>4</v>
      </c>
      <c r="C4" s="2">
        <v>3088354</v>
      </c>
      <c r="D4">
        <f t="shared" si="0"/>
        <v>9.0039475218658893</v>
      </c>
      <c r="E4">
        <f t="shared" si="1"/>
        <v>9</v>
      </c>
      <c r="F4">
        <v>9</v>
      </c>
      <c r="I4" s="4" t="s">
        <v>73</v>
      </c>
      <c r="J4" s="3">
        <v>775610</v>
      </c>
      <c r="K4">
        <f t="shared" si="2"/>
        <v>2.2639427027027028</v>
      </c>
      <c r="L4">
        <f t="shared" si="3"/>
        <v>2.2599999999999998</v>
      </c>
    </row>
    <row r="5" spans="1:12" ht="18" x14ac:dyDescent="0.2">
      <c r="A5" s="1">
        <v>1</v>
      </c>
      <c r="B5" s="1" t="s">
        <v>5</v>
      </c>
      <c r="C5" s="2">
        <v>39431263</v>
      </c>
      <c r="D5">
        <f t="shared" si="0"/>
        <v>114.95995043731779</v>
      </c>
      <c r="E5">
        <f t="shared" si="1"/>
        <v>114.96</v>
      </c>
      <c r="F5">
        <v>114.96</v>
      </c>
      <c r="I5" s="4" t="s">
        <v>58</v>
      </c>
      <c r="J5" s="3">
        <v>510550</v>
      </c>
      <c r="K5">
        <f t="shared" si="2"/>
        <v>1.4902540540540541</v>
      </c>
      <c r="L5">
        <f t="shared" si="3"/>
        <v>1.49</v>
      </c>
    </row>
    <row r="6" spans="1:12" ht="18" x14ac:dyDescent="0.2">
      <c r="A6" s="1">
        <v>21</v>
      </c>
      <c r="B6" s="1" t="s">
        <v>6</v>
      </c>
      <c r="C6" s="2">
        <v>5957493</v>
      </c>
      <c r="D6">
        <f t="shared" si="0"/>
        <v>17.368784256559767</v>
      </c>
      <c r="E6">
        <f t="shared" si="1"/>
        <v>17.37</v>
      </c>
      <c r="F6">
        <v>17.37</v>
      </c>
      <c r="I6" s="4" t="s">
        <v>74</v>
      </c>
      <c r="J6" s="3">
        <v>41070</v>
      </c>
      <c r="K6">
        <f t="shared" si="2"/>
        <v>0.11988000000000001</v>
      </c>
      <c r="L6">
        <f t="shared" si="3"/>
        <v>0.12</v>
      </c>
    </row>
    <row r="7" spans="1:12" ht="18" x14ac:dyDescent="0.2">
      <c r="A7" s="1">
        <v>29</v>
      </c>
      <c r="B7" s="1" t="s">
        <v>7</v>
      </c>
      <c r="C7" s="2">
        <v>3675069</v>
      </c>
      <c r="D7">
        <f t="shared" si="0"/>
        <v>10.714486880466472</v>
      </c>
      <c r="E7">
        <f t="shared" si="1"/>
        <v>10.71</v>
      </c>
      <c r="F7">
        <v>10.71</v>
      </c>
      <c r="I7" s="4" t="s">
        <v>54</v>
      </c>
      <c r="J7" s="3">
        <v>969383</v>
      </c>
      <c r="K7">
        <f t="shared" si="2"/>
        <v>2.8295503783783782</v>
      </c>
      <c r="L7">
        <f t="shared" si="3"/>
        <v>2.83</v>
      </c>
    </row>
    <row r="8" spans="1:12" ht="18" x14ac:dyDescent="0.2">
      <c r="A8" s="1">
        <v>45</v>
      </c>
      <c r="B8" s="1" t="s">
        <v>8</v>
      </c>
      <c r="C8" s="2">
        <v>1051917</v>
      </c>
      <c r="D8">
        <f t="shared" si="0"/>
        <v>3.0668134110787175</v>
      </c>
      <c r="E8">
        <f t="shared" si="1"/>
        <v>3.07</v>
      </c>
      <c r="F8">
        <v>3.07</v>
      </c>
      <c r="I8" s="4" t="s">
        <v>76</v>
      </c>
      <c r="J8" s="3">
        <v>36858</v>
      </c>
      <c r="K8">
        <f t="shared" si="2"/>
        <v>0.10758551351351353</v>
      </c>
      <c r="L8">
        <f t="shared" si="3"/>
        <v>0.11</v>
      </c>
    </row>
    <row r="9" spans="1:12" ht="18" x14ac:dyDescent="0.2">
      <c r="A9" s="1">
        <v>49</v>
      </c>
      <c r="B9" s="1" t="s">
        <v>51</v>
      </c>
      <c r="C9" s="2">
        <v>702250</v>
      </c>
      <c r="D9">
        <f t="shared" si="0"/>
        <v>2.0473760932944609</v>
      </c>
      <c r="E9">
        <f t="shared" si="1"/>
        <v>2.0499999999999998</v>
      </c>
      <c r="F9">
        <v>2.0499999999999998</v>
      </c>
      <c r="I9" s="4" t="s">
        <v>53</v>
      </c>
      <c r="J9" s="3">
        <v>14223942</v>
      </c>
      <c r="K9">
        <f t="shared" si="2"/>
        <v>41.518533405405407</v>
      </c>
      <c r="L9">
        <f t="shared" si="3"/>
        <v>41.52</v>
      </c>
    </row>
    <row r="10" spans="1:12" ht="18" x14ac:dyDescent="0.2">
      <c r="A10" s="1">
        <v>3</v>
      </c>
      <c r="B10" s="1" t="s">
        <v>9</v>
      </c>
      <c r="C10" s="2">
        <v>23372215</v>
      </c>
      <c r="D10">
        <f t="shared" si="0"/>
        <v>68.140568513119533</v>
      </c>
      <c r="E10">
        <f t="shared" si="1"/>
        <v>68.14</v>
      </c>
      <c r="F10">
        <v>68.14</v>
      </c>
      <c r="I10" s="4" t="s">
        <v>61</v>
      </c>
      <c r="J10" s="3">
        <v>154331</v>
      </c>
      <c r="K10">
        <f t="shared" si="2"/>
        <v>0.45047967567567571</v>
      </c>
      <c r="L10">
        <f t="shared" si="3"/>
        <v>0.45</v>
      </c>
    </row>
    <row r="11" spans="1:12" ht="18" x14ac:dyDescent="0.2">
      <c r="A11" s="1">
        <v>8</v>
      </c>
      <c r="B11" s="1" t="s">
        <v>10</v>
      </c>
      <c r="C11" s="2">
        <v>11180878</v>
      </c>
      <c r="D11">
        <f t="shared" si="0"/>
        <v>32.597311953352765</v>
      </c>
      <c r="E11">
        <f t="shared" si="1"/>
        <v>32.6</v>
      </c>
      <c r="F11">
        <v>32.6</v>
      </c>
      <c r="I11" s="4" t="s">
        <v>60</v>
      </c>
      <c r="J11" s="3">
        <v>8501833</v>
      </c>
      <c r="K11">
        <f t="shared" si="2"/>
        <v>24.816161189189188</v>
      </c>
      <c r="L11">
        <f t="shared" si="3"/>
        <v>24.82</v>
      </c>
    </row>
    <row r="12" spans="1:12" ht="18" x14ac:dyDescent="0.2">
      <c r="A12" s="1">
        <v>40</v>
      </c>
      <c r="B12" s="1" t="s">
        <v>11</v>
      </c>
      <c r="C12" s="2">
        <v>1446146</v>
      </c>
      <c r="D12">
        <f t="shared" si="0"/>
        <v>4.2161690962099128</v>
      </c>
      <c r="E12">
        <f t="shared" si="1"/>
        <v>4.22</v>
      </c>
      <c r="F12">
        <v>4.22</v>
      </c>
      <c r="I12" s="4" t="s">
        <v>52</v>
      </c>
      <c r="J12" s="3">
        <v>1132505</v>
      </c>
      <c r="K12">
        <f t="shared" si="2"/>
        <v>3.30569027027027</v>
      </c>
      <c r="L12">
        <f t="shared" si="3"/>
        <v>3.31</v>
      </c>
    </row>
    <row r="13" spans="1:12" ht="18" x14ac:dyDescent="0.2">
      <c r="A13" s="1">
        <v>38</v>
      </c>
      <c r="B13" s="1" t="s">
        <v>12</v>
      </c>
      <c r="C13" s="2">
        <v>2001619</v>
      </c>
      <c r="D13">
        <f t="shared" si="0"/>
        <v>5.8356239067055391</v>
      </c>
      <c r="E13">
        <f t="shared" si="1"/>
        <v>5.84</v>
      </c>
      <c r="F13">
        <v>5.84</v>
      </c>
      <c r="I13" s="4" t="s">
        <v>75</v>
      </c>
      <c r="J13" s="3">
        <v>40232</v>
      </c>
      <c r="K13">
        <f t="shared" si="2"/>
        <v>0.11743394594594594</v>
      </c>
      <c r="L13">
        <f t="shared" si="3"/>
        <v>0.12</v>
      </c>
    </row>
    <row r="14" spans="1:12" ht="18" x14ac:dyDescent="0.2">
      <c r="A14" s="1">
        <v>6</v>
      </c>
      <c r="B14" s="1" t="s">
        <v>13</v>
      </c>
      <c r="C14" s="2">
        <v>12710158</v>
      </c>
      <c r="D14">
        <f t="shared" si="0"/>
        <v>37.055854227405248</v>
      </c>
      <c r="E14">
        <f t="shared" si="1"/>
        <v>37.06</v>
      </c>
      <c r="F14">
        <v>37.06</v>
      </c>
    </row>
    <row r="15" spans="1:12" ht="18" x14ac:dyDescent="0.2">
      <c r="A15" s="1">
        <v>17</v>
      </c>
      <c r="B15" s="1" t="s">
        <v>14</v>
      </c>
      <c r="C15" s="2">
        <v>6924275</v>
      </c>
      <c r="D15">
        <f t="shared" si="0"/>
        <v>20.187390670553935</v>
      </c>
      <c r="E15">
        <f t="shared" si="1"/>
        <v>20.190000000000001</v>
      </c>
      <c r="F15">
        <v>20.190000000000001</v>
      </c>
    </row>
    <row r="16" spans="1:12" ht="18" x14ac:dyDescent="0.2">
      <c r="A16" s="1">
        <v>32</v>
      </c>
      <c r="B16" s="1" t="s">
        <v>15</v>
      </c>
      <c r="C16" s="2">
        <v>3241488</v>
      </c>
      <c r="D16">
        <f t="shared" si="0"/>
        <v>9.4504023323615165</v>
      </c>
      <c r="E16">
        <f t="shared" si="1"/>
        <v>9.4499999999999993</v>
      </c>
      <c r="F16">
        <v>9.4499999999999993</v>
      </c>
    </row>
    <row r="17" spans="1:6" ht="18" x14ac:dyDescent="0.2">
      <c r="A17" s="1">
        <v>34</v>
      </c>
      <c r="B17" s="1" t="s">
        <v>16</v>
      </c>
      <c r="C17" s="2">
        <v>2970606</v>
      </c>
      <c r="D17">
        <f t="shared" si="0"/>
        <v>8.6606588921282786</v>
      </c>
      <c r="E17">
        <f t="shared" si="1"/>
        <v>8.66</v>
      </c>
      <c r="F17">
        <v>8.66</v>
      </c>
    </row>
    <row r="18" spans="1:6" ht="18" x14ac:dyDescent="0.2">
      <c r="A18" s="1">
        <v>26</v>
      </c>
      <c r="B18" s="1" t="s">
        <v>17</v>
      </c>
      <c r="C18" s="2">
        <v>4588372</v>
      </c>
      <c r="D18">
        <f t="shared" si="0"/>
        <v>13.377177842565597</v>
      </c>
      <c r="E18">
        <f t="shared" si="1"/>
        <v>13.38</v>
      </c>
      <c r="F18">
        <v>13.38</v>
      </c>
    </row>
    <row r="19" spans="1:6" ht="18" x14ac:dyDescent="0.2">
      <c r="A19" s="1">
        <v>25</v>
      </c>
      <c r="B19" s="1" t="s">
        <v>18</v>
      </c>
      <c r="C19" s="2">
        <v>4597740</v>
      </c>
      <c r="D19">
        <f t="shared" si="0"/>
        <v>13.404489795918368</v>
      </c>
      <c r="E19">
        <f t="shared" si="1"/>
        <v>13.4</v>
      </c>
      <c r="F19">
        <v>13.4</v>
      </c>
    </row>
    <row r="20" spans="1:6" ht="18" x14ac:dyDescent="0.2">
      <c r="A20" s="1">
        <v>42</v>
      </c>
      <c r="B20" s="1" t="s">
        <v>19</v>
      </c>
      <c r="C20" s="2">
        <v>1405012</v>
      </c>
      <c r="D20">
        <f t="shared" si="0"/>
        <v>4.096244897959183</v>
      </c>
      <c r="E20">
        <f t="shared" si="1"/>
        <v>4.0999999999999996</v>
      </c>
      <c r="F20">
        <v>4.0999999999999996</v>
      </c>
    </row>
    <row r="21" spans="1:6" ht="18" x14ac:dyDescent="0.2">
      <c r="A21" s="1">
        <v>18</v>
      </c>
      <c r="B21" s="1" t="s">
        <v>20</v>
      </c>
      <c r="C21" s="2">
        <v>6263220</v>
      </c>
      <c r="D21">
        <f t="shared" si="0"/>
        <v>18.260116618075802</v>
      </c>
      <c r="E21">
        <f t="shared" si="1"/>
        <v>18.260000000000002</v>
      </c>
      <c r="F21">
        <v>18.260000000000002</v>
      </c>
    </row>
    <row r="22" spans="1:6" ht="18" x14ac:dyDescent="0.2">
      <c r="A22" s="1">
        <v>16</v>
      </c>
      <c r="B22" s="1" t="s">
        <v>21</v>
      </c>
      <c r="C22" s="2">
        <v>7136171</v>
      </c>
      <c r="D22">
        <f t="shared" si="0"/>
        <v>20.805163265306124</v>
      </c>
      <c r="E22">
        <f t="shared" si="1"/>
        <v>20.81</v>
      </c>
      <c r="F22">
        <v>20.81</v>
      </c>
    </row>
    <row r="23" spans="1:6" ht="18" x14ac:dyDescent="0.2">
      <c r="A23" s="1">
        <v>10</v>
      </c>
      <c r="B23" s="1" t="s">
        <v>22</v>
      </c>
      <c r="C23" s="2">
        <v>10140459</v>
      </c>
      <c r="D23">
        <f t="shared" si="0"/>
        <v>29.564020408163266</v>
      </c>
      <c r="E23">
        <f t="shared" si="1"/>
        <v>29.56</v>
      </c>
      <c r="F23">
        <v>29.56</v>
      </c>
    </row>
    <row r="24" spans="1:6" ht="18" x14ac:dyDescent="0.2">
      <c r="A24" s="1">
        <v>22</v>
      </c>
      <c r="B24" s="1" t="s">
        <v>23</v>
      </c>
      <c r="C24" s="2">
        <v>5793151</v>
      </c>
      <c r="D24">
        <f t="shared" si="0"/>
        <v>16.88965306122449</v>
      </c>
      <c r="E24">
        <f t="shared" si="1"/>
        <v>16.89</v>
      </c>
      <c r="F24">
        <v>16.89</v>
      </c>
    </row>
    <row r="25" spans="1:6" ht="18" x14ac:dyDescent="0.2">
      <c r="A25" s="1">
        <v>35</v>
      </c>
      <c r="B25" s="1" t="s">
        <v>24</v>
      </c>
      <c r="C25" s="2">
        <v>2943045</v>
      </c>
      <c r="D25">
        <f t="shared" si="0"/>
        <v>8.5803061224489792</v>
      </c>
      <c r="E25">
        <f t="shared" si="1"/>
        <v>8.58</v>
      </c>
      <c r="F25">
        <v>8.58</v>
      </c>
    </row>
    <row r="26" spans="1:6" ht="18" x14ac:dyDescent="0.2">
      <c r="A26" s="1">
        <v>19</v>
      </c>
      <c r="B26" s="1" t="s">
        <v>25</v>
      </c>
      <c r="C26" s="2">
        <v>6245466</v>
      </c>
      <c r="D26">
        <f t="shared" si="0"/>
        <v>18.208355685131195</v>
      </c>
      <c r="E26">
        <f t="shared" si="1"/>
        <v>18.21</v>
      </c>
      <c r="F26">
        <v>18.21</v>
      </c>
    </row>
    <row r="27" spans="1:6" ht="18" x14ac:dyDescent="0.2">
      <c r="A27" s="1">
        <v>43</v>
      </c>
      <c r="B27" s="1" t="s">
        <v>26</v>
      </c>
      <c r="C27" s="2">
        <v>1137233</v>
      </c>
      <c r="D27">
        <f t="shared" si="0"/>
        <v>3.3155481049562683</v>
      </c>
      <c r="E27">
        <f t="shared" si="1"/>
        <v>3.32</v>
      </c>
      <c r="F27">
        <v>3.32</v>
      </c>
    </row>
    <row r="28" spans="1:6" ht="18" x14ac:dyDescent="0.2">
      <c r="A28" s="1">
        <v>37</v>
      </c>
      <c r="B28" s="1" t="s">
        <v>27</v>
      </c>
      <c r="C28" s="2">
        <v>2005465</v>
      </c>
      <c r="D28">
        <f t="shared" si="0"/>
        <v>5.846836734693877</v>
      </c>
      <c r="E28">
        <f t="shared" si="1"/>
        <v>5.85</v>
      </c>
      <c r="F28">
        <v>5.85</v>
      </c>
    </row>
    <row r="29" spans="1:6" ht="18" x14ac:dyDescent="0.2">
      <c r="A29" s="1">
        <v>31</v>
      </c>
      <c r="B29" s="1" t="s">
        <v>28</v>
      </c>
      <c r="C29" s="2">
        <v>3267467</v>
      </c>
      <c r="D29">
        <f t="shared" si="0"/>
        <v>9.5261428571428564</v>
      </c>
      <c r="E29">
        <f t="shared" si="1"/>
        <v>9.5299999999999994</v>
      </c>
      <c r="F29">
        <v>9.5299999999999994</v>
      </c>
    </row>
    <row r="30" spans="1:6" ht="18" x14ac:dyDescent="0.2">
      <c r="A30" s="1">
        <v>41</v>
      </c>
      <c r="B30" s="1" t="s">
        <v>29</v>
      </c>
      <c r="C30" s="2">
        <v>1409032</v>
      </c>
      <c r="D30">
        <f t="shared" si="0"/>
        <v>4.1079650145772595</v>
      </c>
      <c r="E30">
        <f t="shared" si="1"/>
        <v>4.1100000000000003</v>
      </c>
      <c r="F30">
        <v>4.1100000000000003</v>
      </c>
    </row>
    <row r="31" spans="1:6" ht="18" x14ac:dyDescent="0.2">
      <c r="A31" s="1">
        <v>11</v>
      </c>
      <c r="B31" s="1" t="s">
        <v>30</v>
      </c>
      <c r="C31" s="2">
        <v>9500851</v>
      </c>
      <c r="D31">
        <f t="shared" si="0"/>
        <v>27.699274052478135</v>
      </c>
      <c r="E31">
        <f t="shared" si="1"/>
        <v>27.7</v>
      </c>
      <c r="F31">
        <v>27.7</v>
      </c>
    </row>
    <row r="32" spans="1:6" ht="18" x14ac:dyDescent="0.2">
      <c r="A32" s="1">
        <v>36</v>
      </c>
      <c r="B32" s="1" t="s">
        <v>31</v>
      </c>
      <c r="C32" s="2">
        <v>2130256</v>
      </c>
      <c r="D32">
        <f t="shared" si="0"/>
        <v>6.2106588921282802</v>
      </c>
      <c r="E32">
        <f t="shared" si="1"/>
        <v>6.21</v>
      </c>
      <c r="F32">
        <v>6.21</v>
      </c>
    </row>
    <row r="33" spans="1:6" ht="18" x14ac:dyDescent="0.2">
      <c r="A33" s="1">
        <v>4</v>
      </c>
      <c r="B33" s="1" t="s">
        <v>32</v>
      </c>
      <c r="C33" s="2">
        <v>19867248</v>
      </c>
      <c r="D33">
        <f t="shared" si="0"/>
        <v>57.922005830903785</v>
      </c>
      <c r="E33">
        <f t="shared" si="1"/>
        <v>57.92</v>
      </c>
      <c r="F33">
        <v>57.92</v>
      </c>
    </row>
    <row r="34" spans="1:6" ht="18" x14ac:dyDescent="0.2">
      <c r="A34" s="1">
        <v>9</v>
      </c>
      <c r="B34" s="1" t="s">
        <v>33</v>
      </c>
      <c r="C34" s="2">
        <v>11046024</v>
      </c>
      <c r="D34">
        <f t="shared" si="0"/>
        <v>32.204151603498545</v>
      </c>
      <c r="E34">
        <f t="shared" si="1"/>
        <v>32.200000000000003</v>
      </c>
      <c r="F34">
        <v>32.200000000000003</v>
      </c>
    </row>
    <row r="35" spans="1:6" ht="18" x14ac:dyDescent="0.2">
      <c r="A35" s="1">
        <v>47</v>
      </c>
      <c r="B35" s="1" t="s">
        <v>34</v>
      </c>
      <c r="C35" s="2">
        <v>796568</v>
      </c>
      <c r="D35">
        <f t="shared" si="0"/>
        <v>2.3223556851311953</v>
      </c>
      <c r="E35">
        <f t="shared" si="1"/>
        <v>2.3199999999999998</v>
      </c>
      <c r="F35">
        <v>2.3199999999999998</v>
      </c>
    </row>
    <row r="36" spans="1:6" ht="18" x14ac:dyDescent="0.2">
      <c r="A36" s="1">
        <v>7</v>
      </c>
      <c r="B36" s="1" t="s">
        <v>35</v>
      </c>
      <c r="C36" s="2">
        <v>11883304</v>
      </c>
      <c r="D36">
        <f t="shared" si="0"/>
        <v>34.645201166180755</v>
      </c>
      <c r="E36">
        <f t="shared" si="1"/>
        <v>34.65</v>
      </c>
      <c r="F36">
        <v>34.65</v>
      </c>
    </row>
    <row r="37" spans="1:6" ht="18" x14ac:dyDescent="0.2">
      <c r="A37" s="1">
        <v>28</v>
      </c>
      <c r="B37" s="1" t="s">
        <v>36</v>
      </c>
      <c r="C37" s="2">
        <v>4095393</v>
      </c>
      <c r="D37">
        <f t="shared" si="0"/>
        <v>11.939921282798833</v>
      </c>
      <c r="E37">
        <f t="shared" si="1"/>
        <v>11.94</v>
      </c>
      <c r="F37">
        <v>11.94</v>
      </c>
    </row>
    <row r="38" spans="1:6" ht="18" x14ac:dyDescent="0.2">
      <c r="A38" s="1">
        <v>27</v>
      </c>
      <c r="B38" s="1" t="s">
        <v>37</v>
      </c>
      <c r="C38" s="2">
        <v>4272371</v>
      </c>
      <c r="D38">
        <f t="shared" si="0"/>
        <v>12.455892128279883</v>
      </c>
      <c r="E38">
        <f t="shared" si="1"/>
        <v>12.46</v>
      </c>
      <c r="F38">
        <v>12.46</v>
      </c>
    </row>
    <row r="39" spans="1:6" ht="18" x14ac:dyDescent="0.2">
      <c r="A39" s="1">
        <v>5</v>
      </c>
      <c r="B39" s="1" t="s">
        <v>38</v>
      </c>
      <c r="C39" s="2">
        <v>13078751</v>
      </c>
      <c r="D39">
        <f t="shared" si="0"/>
        <v>38.130469387755099</v>
      </c>
      <c r="E39">
        <f t="shared" si="1"/>
        <v>38.130000000000003</v>
      </c>
      <c r="F39">
        <v>38.130000000000003</v>
      </c>
    </row>
    <row r="40" spans="1:6" ht="18" x14ac:dyDescent="0.2">
      <c r="A40" s="1">
        <v>44</v>
      </c>
      <c r="B40" s="1" t="s">
        <v>39</v>
      </c>
      <c r="C40" s="2">
        <v>1112308</v>
      </c>
      <c r="D40">
        <f t="shared" si="0"/>
        <v>3.242880466472303</v>
      </c>
      <c r="E40">
        <f t="shared" si="1"/>
        <v>3.24</v>
      </c>
      <c r="F40">
        <v>3.24</v>
      </c>
    </row>
    <row r="41" spans="1:6" ht="18" x14ac:dyDescent="0.2">
      <c r="A41" s="1">
        <v>23</v>
      </c>
      <c r="B41" s="1" t="s">
        <v>40</v>
      </c>
      <c r="C41" s="2">
        <v>5478831</v>
      </c>
      <c r="D41">
        <f t="shared" si="0"/>
        <v>15.973268221574344</v>
      </c>
      <c r="E41">
        <f t="shared" si="1"/>
        <v>15.97</v>
      </c>
      <c r="F41">
        <v>15.97</v>
      </c>
    </row>
    <row r="42" spans="1:6" ht="18" x14ac:dyDescent="0.2">
      <c r="A42" s="1">
        <v>46</v>
      </c>
      <c r="B42" s="1" t="s">
        <v>41</v>
      </c>
      <c r="C42" s="2">
        <v>924669</v>
      </c>
      <c r="D42">
        <f t="shared" si="0"/>
        <v>2.6958279883381926</v>
      </c>
      <c r="E42">
        <f t="shared" si="1"/>
        <v>2.7</v>
      </c>
      <c r="F42">
        <v>2.7</v>
      </c>
    </row>
    <row r="43" spans="1:6" ht="18" x14ac:dyDescent="0.2">
      <c r="A43" s="1">
        <v>15</v>
      </c>
      <c r="B43" s="1" t="s">
        <v>42</v>
      </c>
      <c r="C43" s="2">
        <v>7227750</v>
      </c>
      <c r="D43">
        <f t="shared" si="0"/>
        <v>21.072157434402332</v>
      </c>
      <c r="E43">
        <f t="shared" si="1"/>
        <v>21.07</v>
      </c>
      <c r="F43">
        <v>21.07</v>
      </c>
    </row>
    <row r="44" spans="1:6" ht="18" x14ac:dyDescent="0.2">
      <c r="A44" s="1">
        <v>2</v>
      </c>
      <c r="B44" s="1" t="s">
        <v>43</v>
      </c>
      <c r="C44" s="2">
        <v>31290831</v>
      </c>
      <c r="D44">
        <f t="shared" si="0"/>
        <v>91.226912536443152</v>
      </c>
      <c r="E44">
        <f t="shared" si="1"/>
        <v>91.23</v>
      </c>
      <c r="F44">
        <v>91.23</v>
      </c>
    </row>
    <row r="45" spans="1:6" ht="18" x14ac:dyDescent="0.2">
      <c r="A45" s="1">
        <v>30</v>
      </c>
      <c r="B45" s="1" t="s">
        <v>44</v>
      </c>
      <c r="C45" s="2">
        <v>3503613</v>
      </c>
      <c r="D45">
        <f t="shared" si="0"/>
        <v>10.214615160349855</v>
      </c>
      <c r="E45">
        <f t="shared" si="1"/>
        <v>10.210000000000001</v>
      </c>
      <c r="F45">
        <v>10.210000000000001</v>
      </c>
    </row>
    <row r="46" spans="1:6" ht="18" x14ac:dyDescent="0.2">
      <c r="A46" s="1">
        <v>50</v>
      </c>
      <c r="B46" s="1" t="s">
        <v>45</v>
      </c>
      <c r="C46" s="2">
        <v>648493</v>
      </c>
      <c r="D46">
        <f t="shared" si="0"/>
        <v>1.8906501457725948</v>
      </c>
      <c r="E46">
        <f t="shared" si="1"/>
        <v>1.89</v>
      </c>
      <c r="F46">
        <v>1.89</v>
      </c>
    </row>
    <row r="47" spans="1:6" ht="18" x14ac:dyDescent="0.2">
      <c r="A47" s="1">
        <v>12</v>
      </c>
      <c r="B47" s="1" t="s">
        <v>46</v>
      </c>
      <c r="C47" s="2">
        <v>8811195</v>
      </c>
      <c r="D47">
        <f t="shared" si="0"/>
        <v>25.688615160349851</v>
      </c>
      <c r="E47">
        <f t="shared" si="1"/>
        <v>25.69</v>
      </c>
      <c r="F47">
        <v>25.69</v>
      </c>
    </row>
    <row r="48" spans="1:6" ht="18" x14ac:dyDescent="0.2">
      <c r="A48" s="1">
        <v>13</v>
      </c>
      <c r="B48" s="1" t="s">
        <v>47</v>
      </c>
      <c r="C48" s="2">
        <v>7958180</v>
      </c>
      <c r="D48">
        <f t="shared" si="0"/>
        <v>23.201690962099125</v>
      </c>
      <c r="E48">
        <f t="shared" si="1"/>
        <v>23.2</v>
      </c>
      <c r="F48">
        <v>23.2</v>
      </c>
    </row>
    <row r="49" spans="1:6" ht="18" x14ac:dyDescent="0.2">
      <c r="A49" s="1">
        <v>39</v>
      </c>
      <c r="B49" s="1" t="s">
        <v>48</v>
      </c>
      <c r="C49" s="2">
        <v>1769979</v>
      </c>
      <c r="D49">
        <f t="shared" si="0"/>
        <v>5.1602886297376092</v>
      </c>
      <c r="E49">
        <f t="shared" si="1"/>
        <v>5.16</v>
      </c>
      <c r="F49">
        <v>5.16</v>
      </c>
    </row>
    <row r="50" spans="1:6" ht="18" x14ac:dyDescent="0.2">
      <c r="A50" s="1">
        <v>20</v>
      </c>
      <c r="B50" s="1" t="s">
        <v>49</v>
      </c>
      <c r="C50" s="2">
        <v>5960975</v>
      </c>
      <c r="D50">
        <f t="shared" si="0"/>
        <v>17.378935860058306</v>
      </c>
      <c r="E50">
        <f t="shared" si="1"/>
        <v>17.38</v>
      </c>
      <c r="F50">
        <v>17.38</v>
      </c>
    </row>
    <row r="51" spans="1:6" ht="18" x14ac:dyDescent="0.2">
      <c r="A51" s="1">
        <v>51</v>
      </c>
      <c r="B51" s="1" t="s">
        <v>50</v>
      </c>
      <c r="C51" s="2">
        <v>587618</v>
      </c>
      <c r="D51">
        <f t="shared" si="0"/>
        <v>1.7131720116618077</v>
      </c>
      <c r="E51">
        <f t="shared" si="1"/>
        <v>1.71</v>
      </c>
      <c r="F51">
        <v>1.71</v>
      </c>
    </row>
  </sheetData>
  <sortState xmlns:xlrd2="http://schemas.microsoft.com/office/spreadsheetml/2017/richdata2" ref="H1:J13">
    <sortCondition ref="I1:I13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Scores (Buffalo)</vt:lpstr>
      <vt:lpstr>Population Quotients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 Poulin</dc:creator>
  <cp:lastModifiedBy>Theo Poulin</cp:lastModifiedBy>
  <dcterms:created xsi:type="dcterms:W3CDTF">2025-12-28T19:46:45Z</dcterms:created>
  <dcterms:modified xsi:type="dcterms:W3CDTF">2025-12-29T03:42:55Z</dcterms:modified>
</cp:coreProperties>
</file>